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— Education Campus" sheetId="1" state="visible" r:id="rId3"/>
    <sheet name="School - Civil" sheetId="2" state="visible" r:id="rId4"/>
    <sheet name="School - Fit-Out &amp; Equipment" sheetId="3" state="visible" r:id="rId5"/>
    <sheet name="Library - Fit-O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<sst xmlns="http://schemas.openxmlformats.org/spreadsheetml/2006/main" count="551" uniqueCount="411">
  <si>
    <t xml:space="preserve">EDUCATION CAMPUS — COST SUMMARY (School + Coaching + Library + Study Center)</t>
  </si>
  <si>
    <t xml:space="preserve">Club Deeper LLP  |  Eduval Pvt. Ltd.  |  July 2026  |  All figures in INR  |  Indicative — validate with civil engineer &amp; architect</t>
  </si>
  <si>
    <t xml:space="preserve">Project / Component</t>
  </si>
  <si>
    <t xml:space="preserve">Type</t>
  </si>
  <si>
    <t xml:space="preserve">Area / Qty</t>
  </si>
  <si>
    <t xml:space="preserve">Unit Rate (₹)</t>
  </si>
  <si>
    <t xml:space="preserve">Base Cost (₹)</t>
  </si>
  <si>
    <t xml:space="preserve">Notes</t>
  </si>
  <si>
    <t xml:space="preserve">CIVIL CONSTRUCTION</t>
  </si>
  <si>
    <t xml:space="preserve">School Block A — 4 floors (38,000 sq ft)</t>
  </si>
  <si>
    <t xml:space="preserve">Civil</t>
  </si>
  <si>
    <t xml:space="preserve">38,000 sq ft</t>
  </si>
  <si>
    <t xml:space="preserve">₹2,500/sq ft</t>
  </si>
  <si>
    <t xml:space="preserve">₹9,50,00,000</t>
  </si>
  <si>
    <t xml:space="preserve">Block A, Academic Zone</t>
  </si>
  <si>
    <t xml:space="preserve">Library Block B — 2 floors (5,200 sq ft)</t>
  </si>
  <si>
    <t xml:space="preserve">5,200 sq ft</t>
  </si>
  <si>
    <t xml:space="preserve">₹1,30,00,000</t>
  </si>
  <si>
    <t xml:space="preserve">Block B, Academic Zone</t>
  </si>
  <si>
    <t xml:space="preserve">Coaching Centre — 4 floors (18,000 sq ft)</t>
  </si>
  <si>
    <t xml:space="preserve">18,000 sq ft</t>
  </si>
  <si>
    <t xml:space="preserve">₹4,50,00,000</t>
  </si>
  <si>
    <t xml:space="preserve">SEPARATE LAND — standalone block</t>
  </si>
  <si>
    <t xml:space="preserve">Open plaza + covered walkways</t>
  </si>
  <si>
    <t xml:space="preserve">8,000 sq ft</t>
  </si>
  <si>
    <t xml:space="preserve">₹500/sq ft</t>
  </si>
  <si>
    <t xml:space="preserve">₹40,00,000</t>
  </si>
  <si>
    <t xml:space="preserve">Academic zone connecting areas</t>
  </si>
  <si>
    <t xml:space="preserve">Covered walkway structure (steel+polycarbonate)</t>
  </si>
  <si>
    <t xml:space="preserve">200 running ft</t>
  </si>
  <si>
    <t xml:space="preserve">₹15,000/rft</t>
  </si>
  <si>
    <t xml:space="preserve">₹30,00,000</t>
  </si>
  <si>
    <t xml:space="preserve">Linking school to library</t>
  </si>
  <si>
    <t xml:space="preserve">Internal roads in academic zone</t>
  </si>
  <si>
    <t xml:space="preserve">15,000 sq mt</t>
  </si>
  <si>
    <t xml:space="preserve">₹1,200/sq mt</t>
  </si>
  <si>
    <t xml:space="preserve">₹1,80,00,000</t>
  </si>
  <si>
    <t xml:space="preserve">3 km × 5m width</t>
  </si>
  <si>
    <t xml:space="preserve">Perimeter compound wall / fencing</t>
  </si>
  <si>
    <t xml:space="preserve">700 metres</t>
  </si>
  <si>
    <t xml:space="preserve">₹400/metre</t>
  </si>
  <si>
    <t xml:space="preserve">₹2,80,000</t>
  </si>
  <si>
    <t xml:space="preserve">5-acre zone perimeter</t>
  </si>
  <si>
    <t xml:space="preserve">Main gate structure + boom barrier</t>
  </si>
  <si>
    <t xml:space="preserve">1 lump sum</t>
  </si>
  <si>
    <t xml:space="preserve">₹5,00,000</t>
  </si>
  <si>
    <t xml:space="preserve">Security gate</t>
  </si>
  <si>
    <t xml:space="preserve">Parking + bus bays (paved)</t>
  </si>
  <si>
    <t xml:space="preserve">6,000 sq ft</t>
  </si>
  <si>
    <t xml:space="preserve">Academic zone parking</t>
  </si>
  <si>
    <t xml:space="preserve">Landscaping — green areas</t>
  </si>
  <si>
    <t xml:space="preserve">1,74,240 sq ft</t>
  </si>
  <si>
    <t xml:space="preserve">₹150/sq ft</t>
  </si>
  <si>
    <t xml:space="preserve">₹2,61,36,000</t>
  </si>
  <si>
    <t xml:space="preserve">86% of 5-acre zone</t>
  </si>
  <si>
    <t xml:space="preserve">Utilities — MEP (water, power, drainage, STP, solar civil)</t>
  </si>
  <si>
    <t xml:space="preserve">—</t>
  </si>
  <si>
    <t xml:space="preserve">₹1,50,00,000</t>
  </si>
  <si>
    <t xml:space="preserve">~15% of building cost estimate</t>
  </si>
  <si>
    <t xml:space="preserve">CIVIL SUBTOTAL</t>
  </si>
  <si>
    <t xml:space="preserve">₹22,29,16,000</t>
  </si>
  <si>
    <t xml:space="preserve">FIT-OUT &amp; EQUIPMENT</t>
  </si>
  <si>
    <t xml:space="preserve">School — classroom furniture (benches, IFP, PA)</t>
  </si>
  <si>
    <t xml:space="preserve">Fit-Out</t>
  </si>
  <si>
    <t xml:space="preserve">30 classrooms</t>
  </si>
  <si>
    <t xml:space="preserve">₹70,20,000</t>
  </si>
  <si>
    <t xml:space="preserve">Per detailed sheet</t>
  </si>
  <si>
    <t xml:space="preserve">School — science lab equipment (4 labs)</t>
  </si>
  <si>
    <t xml:space="preserve">4 labs</t>
  </si>
  <si>
    <t xml:space="preserve">₹18,87,500</t>
  </si>
  <si>
    <t xml:space="preserve">CBSE-compliant packages</t>
  </si>
  <si>
    <t xml:space="preserve">School — computer + technology labs</t>
  </si>
  <si>
    <t xml:space="preserve">2 labs</t>
  </si>
  <si>
    <t xml:space="preserve">₹42,35,000</t>
  </si>
  <si>
    <t xml:space="preserve">Computer lab + Robotics lab</t>
  </si>
  <si>
    <t xml:space="preserve">School — canteen kitchen equipment</t>
  </si>
  <si>
    <t xml:space="preserve">1 kitchen</t>
  </si>
  <si>
    <t xml:space="preserve">₹15,80,000</t>
  </si>
  <si>
    <t xml:space="preserve">Commercial kitchen</t>
  </si>
  <si>
    <t xml:space="preserve">School — hostel furniture (576 students)</t>
  </si>
  <si>
    <t xml:space="preserve">576 students</t>
  </si>
  <si>
    <t xml:space="preserve">₹94,80,000</t>
  </si>
  <si>
    <t xml:space="preserve">Beds, wardrobes, desks</t>
  </si>
  <si>
    <t xml:space="preserve">School — arts/music studio equipment</t>
  </si>
  <si>
    <t xml:space="preserve">1 studio</t>
  </si>
  <si>
    <t xml:space="preserve">₹1,80,000</t>
  </si>
  <si>
    <t xml:space="preserve">Instruments</t>
  </si>
  <si>
    <t xml:space="preserve">School — admin &amp; staff room furniture</t>
  </si>
  <si>
    <t xml:space="preserve">1 school</t>
  </si>
  <si>
    <t xml:space="preserve">₹6,90,000</t>
  </si>
  <si>
    <t xml:space="preserve">Principal, VPs, seminar rooms</t>
  </si>
  <si>
    <t xml:space="preserve">School — technology systems (CCTV, Wi-Fi, PA, Solar)</t>
  </si>
  <si>
    <t xml:space="preserve">₹75,50,000</t>
  </si>
  <si>
    <t xml:space="preserve">Library — furniture, books, RFID system</t>
  </si>
  <si>
    <t xml:space="preserve">1 library</t>
  </si>
  <si>
    <t xml:space="preserve">₹57,00,000</t>
  </si>
  <si>
    <t xml:space="preserve">Per detailed sheet incl. 10,000 books</t>
  </si>
  <si>
    <t xml:space="preserve">Coaching Centre — fit-out (CBT computers, AV, furniture)</t>
  </si>
  <si>
    <t xml:space="preserve">2 CBT labs + 2 lecture halls</t>
  </si>
  <si>
    <t xml:space="preserve">₹65,00,000</t>
  </si>
  <si>
    <t xml:space="preserve">200 computers, IFP, furniture</t>
  </si>
  <si>
    <t xml:space="preserve">Study Center — furniture &amp; resources</t>
  </si>
  <si>
    <t xml:space="preserve">2 rooms + self-study hall</t>
  </si>
  <si>
    <t xml:space="preserve">₹8,00,000</t>
  </si>
  <si>
    <t xml:space="preserve">Integrated with school block</t>
  </si>
  <si>
    <t xml:space="preserve">FIT-OUT SUBTOTAL</t>
  </si>
  <si>
    <t xml:space="preserve">₹3,56,22,500</t>
  </si>
  <si>
    <t xml:space="preserve">TOTAL — EDUCATION CAMPUS (Civil + Fit-Out)</t>
  </si>
  <si>
    <t xml:space="preserve">₹25,85,38,500</t>
  </si>
  <si>
    <t xml:space="preserve">~₹26 Crores</t>
  </si>
  <si>
    <t xml:space="preserve">Contingency (10%)</t>
  </si>
  <si>
    <t xml:space="preserve">₹2,58,53,850</t>
  </si>
  <si>
    <t xml:space="preserve">Standard project contingency</t>
  </si>
  <si>
    <t xml:space="preserve">GRAND TOTAL — EDUCATION CAMPUS</t>
  </si>
  <si>
    <t xml:space="preserve">₹28,43,92,350</t>
  </si>
  <si>
    <t xml:space="preserve">~₹28 Crores; survey estimate ₹15 Cr for school Phase 1 only</t>
  </si>
  <si>
    <t xml:space="preserve">NOTE: All costs are indicative based on Pune/Maharashtra market rates (July 2026). Final costs to be validated by the appointed civil engineer (Dr. Shivaji Padwal) and architect (Omkar Yanbhar, Yo+ Architect) through detailed BOQ preparation after schematic design is approved. Coaching Centre cost shown separately as it is on separate land.</t>
  </si>
  <si>
    <t xml:space="preserve">DEEPER PUBLIC SCHOOL (CBSE/K12)  —  CIVIL CONSTRUCTION COST SHEET</t>
  </si>
  <si>
    <t xml:space="preserve">Location: Block A, 5-Acre Academic Zone  |  Construction Rate: ₹2,500 per sq ft (built-up)  |  Open Space: ₹500/sq ft  |  Road: ₹1,200/sq mt  |  Fencing: ₹400/metre</t>
  </si>
  <si>
    <t xml:space="preserve">Component</t>
  </si>
  <si>
    <t xml:space="preserve">Description</t>
  </si>
  <si>
    <t xml:space="preserve">Unit</t>
  </si>
  <si>
    <t xml:space="preserve">Rate (₹)</t>
  </si>
  <si>
    <t xml:space="preserve">Total Cost (₹)</t>
  </si>
  <si>
    <t xml:space="preserve">1. BUILDING STRUCTURE — BLOCK A (School)</t>
  </si>
  <si>
    <t xml:space="preserve">School Block A — 4 floors (Ground+1F+2F+3F)</t>
  </si>
  <si>
    <t xml:space="preserve">Composite RCC construction incl. labs, lifts, shaft, services rough-in, doors &amp; windows</t>
  </si>
  <si>
    <t xml:space="preserve">sq ft</t>
  </si>
  <si>
    <t xml:space="preserve">Rate includes structure, finishing, MEP rough-in, lifts, staircases</t>
  </si>
  <si>
    <t xml:space="preserve">Lift — Passenger (1 no.)</t>
  </si>
  <si>
    <t xml:space="preserve">8-person capacity; stainless cabin; ARD; all 4 floors</t>
  </si>
  <si>
    <t xml:space="preserve">unit</t>
  </si>
  <si>
    <t xml:space="preserve">Passenger lift installed Pune ₹10–15L</t>
  </si>
  <si>
    <t xml:space="preserve">Lift — Service (1 no.)</t>
  </si>
  <si>
    <t xml:space="preserve">600 kg capacity; kitchen service; G to 1F</t>
  </si>
  <si>
    <t xml:space="preserve">Service lift installed ₹7–10L</t>
  </si>
  <si>
    <t xml:space="preserve">Chemistry lab fume exhaust shaft</t>
  </si>
  <si>
    <t xml:space="preserve">Full-height shaft G to roof; MS ducting; exhaust fan</t>
  </si>
  <si>
    <t xml:space="preserve">lump sum</t>
  </si>
  <si>
    <t xml:space="preserve">Fume shaft + fan installation</t>
  </si>
  <si>
    <t xml:space="preserve">Rooftop waterproofing + solar prep</t>
  </si>
  <si>
    <t xml:space="preserve">Waterproofing; panel footings provision; access staircase</t>
  </si>
  <si>
    <t xml:space="preserve">Solar structural loading provision</t>
  </si>
  <si>
    <t xml:space="preserve">SUBTOTAL — BUILDING STRUCTURE</t>
  </si>
  <si>
    <t xml:space="preserve">2. OPEN SPACE &amp; LANDSCAPING</t>
  </si>
  <si>
    <t xml:space="preserve">Open plaza + covered walkway base</t>
  </si>
  <si>
    <t xml:space="preserve">Paved hardscape between blocks; drain channels</t>
  </si>
  <si>
    <t xml:space="preserve">Granite/sandstone paving</t>
  </si>
  <si>
    <t xml:space="preserve">Covered walkway steel structure</t>
  </si>
  <si>
    <t xml:space="preserve">Steel + polycarbonate roofing; 10 ft wide × 200 ft long</t>
  </si>
  <si>
    <t xml:space="preserve">running ft</t>
  </si>
  <si>
    <t xml:space="preserve">Steel pergola structure installed</t>
  </si>
  <si>
    <t xml:space="preserve">Parking + bus bays</t>
  </si>
  <si>
    <t xml:space="preserve">Paved; line marked; drainage; kerb edges</t>
  </si>
  <si>
    <t xml:space="preserve">Interlocking paving</t>
  </si>
  <si>
    <t xml:space="preserve">Landscaping (green open areas)</t>
  </si>
  <si>
    <t xml:space="preserve">Site grading, topsoil, grass, trees, irrigation</t>
  </si>
  <si>
    <t xml:space="preserve">5 acres total; buildings occupy ~11,000 sq ft footprint</t>
  </si>
  <si>
    <t xml:space="preserve">SUBTOTAL — OPEN SPACE</t>
  </si>
  <si>
    <t xml:space="preserve">3. ROADS &amp; FENCING</t>
  </si>
  <si>
    <t xml:space="preserve">5m wide bituminous surface; kerb; footpath both sides</t>
  </si>
  <si>
    <t xml:space="preserve">sq mt</t>
  </si>
  <si>
    <t xml:space="preserve">3 km length × 5m width = 15,000 sqm</t>
  </si>
  <si>
    <t xml:space="preserve">Perimeter compound wall/fencing</t>
  </si>
  <si>
    <t xml:space="preserve">6-ft concrete slab boundary — 5-acre zone perimeter</t>
  </si>
  <si>
    <t xml:space="preserve">metres</t>
  </si>
  <si>
    <t xml:space="preserve">Academic zone perimeter ~700m</t>
  </si>
  <si>
    <t xml:space="preserve">Main gate structure</t>
  </si>
  <si>
    <t xml:space="preserve">Double-leaf motorised gate; security cabin; boom barrier</t>
  </si>
  <si>
    <t xml:space="preserve">Gate + cabin + boom installed</t>
  </si>
  <si>
    <t xml:space="preserve">Street lighting</t>
  </si>
  <si>
    <t xml:space="preserve">LED street lights on 6m pole @ 20m intervals along roads</t>
  </si>
  <si>
    <t xml:space="preserve">units</t>
  </si>
  <si>
    <t xml:space="preserve">Solar LED street light pole installed</t>
  </si>
  <si>
    <t xml:space="preserve">SUBTOTAL — ROADS &amp; FENCING</t>
  </si>
  <si>
    <t xml:space="preserve">4. UTILITIES &amp; SERVICES (MEP)</t>
  </si>
  <si>
    <t xml:space="preserve">Water storage — overhead tanks</t>
  </si>
  <si>
    <t xml:space="preserve">2 × 50,000L RCC overhead tank on school block</t>
  </si>
  <si>
    <t xml:space="preserve">RCC OHT construction ₹4–6L each</t>
  </si>
  <si>
    <t xml:space="preserve">Underground sump</t>
  </si>
  <si>
    <t xml:space="preserve">75,000L RCC underground sump; pump room</t>
  </si>
  <si>
    <t xml:space="preserve">RCC sump + pump installation</t>
  </si>
  <si>
    <t xml:space="preserve">STP (Sewage Treatment Plant)</t>
  </si>
  <si>
    <t xml:space="preserve">50 KLD capacity SBR type; underground; landscaped top</t>
  </si>
  <si>
    <t xml:space="preserve">50 KLD STP Pune ₹20–30L</t>
  </si>
  <si>
    <t xml:space="preserve">HT/LT electrical — campus</t>
  </si>
  <si>
    <t xml:space="preserve">HT line from MSEDCL; transformer; LT distribution; DB panels</t>
  </si>
  <si>
    <t xml:space="preserve">Electrical infra ₹15–25L for academic zone</t>
  </si>
  <si>
    <t xml:space="preserve">Generator (DG set)</t>
  </si>
  <si>
    <t xml:space="preserve">250 KVA diesel DG set; AMF panel; fuel tank; acoustic enclosure</t>
  </si>
  <si>
    <t xml:space="preserve">250 KVA DG installed ₹10–15L; KVA TBD by consultant</t>
  </si>
  <si>
    <t xml:space="preserve">Rooftop solar provision (structural only)</t>
  </si>
  <si>
    <t xml:space="preserve">Structural provision for 75 KWp; actual panels in fit-out</t>
  </si>
  <si>
    <t xml:space="preserve">Civil provision only; panels procured separately</t>
  </si>
  <si>
    <t xml:space="preserve">Campus Wi-Fi network cabling</t>
  </si>
  <si>
    <t xml:space="preserve">CAT6 cabling; trunking; cable trays — rough-in</t>
  </si>
  <si>
    <t xml:space="preserve">Cabling rough-in ₹6–10L; APs in fit-out</t>
  </si>
  <si>
    <t xml:space="preserve">CCTV conduit and cabling</t>
  </si>
  <si>
    <t xml:space="preserve">PVC conduit; cabling rough-in for 100 camera points in school</t>
  </si>
  <si>
    <t xml:space="preserve">Conduit only; cameras in fit-out</t>
  </si>
  <si>
    <t xml:space="preserve">PNG gas line</t>
  </si>
  <si>
    <t xml:space="preserve">Piping from meter bank to Chemistry Lab; lab connections</t>
  </si>
  <si>
    <t xml:space="preserve">PNG internal piping school block</t>
  </si>
  <si>
    <t xml:space="preserve">Biogas plant (civil)</t>
  </si>
  <si>
    <t xml:space="preserve">Underground PVC digester; inlet; outlet; gas storage</t>
  </si>
  <si>
    <t xml:space="preserve">1</t>
  </si>
  <si>
    <t xml:space="preserve">10 cubic metre biogas plant for kitchen waste</t>
  </si>
  <si>
    <t xml:space="preserve">SUBTOTAL — UTILITIES</t>
  </si>
  <si>
    <t xml:space="preserve">5. LIBRARY BLOCK B — CIVIL</t>
  </si>
  <si>
    <t xml:space="preserve">Library Block B — 2 floors</t>
  </si>
  <si>
    <t xml:space="preserve">RCC structure; double-height reading hall (18 ft 1F); acoustic study rooms</t>
  </si>
  <si>
    <t xml:space="preserve">Includes double-height ceiling provision</t>
  </si>
  <si>
    <t xml:space="preserve">Library special acoustic works</t>
  </si>
  <si>
    <t xml:space="preserve">Double-skin acoustic walls for 10 study rooms; STC 45</t>
  </si>
  <si>
    <t xml:space="preserve">rooms</t>
  </si>
  <si>
    <t xml:space="preserve">Acoustic wall per study room ₹40,000–60,000</t>
  </si>
  <si>
    <t xml:space="preserve">SUBTOTAL — LIBRARY</t>
  </si>
  <si>
    <t xml:space="preserve">GRAND TOTAL — SCHOOL + LIBRARY CIVIL</t>
  </si>
  <si>
    <t xml:space="preserve">~₹20 Cr civil; validate with civil engineer Dr. Shivaji Padwal</t>
  </si>
  <si>
    <t xml:space="preserve">Standard project contingency for cost escalation and unknowns</t>
  </si>
  <si>
    <t xml:space="preserve">TOTAL WITH CONTINGENCY</t>
  </si>
  <si>
    <t xml:space="preserve">DEEPER PUBLIC SCHOOL (CBSE/K12)  —  FIT-OUT, FURNITURE &amp; EQUIPMENT COST SHEET</t>
  </si>
  <si>
    <t xml:space="preserve">Prices sourced from Pune/Maharashtra market — IndiaMART, manufacturer websites, local distributors — July 2026. These are indicative; get fresh quotations before procurement.</t>
  </si>
  <si>
    <t xml:space="preserve">Item</t>
  </si>
  <si>
    <t xml:space="preserve">Specification</t>
  </si>
  <si>
    <t xml:space="preserve">Qty</t>
  </si>
  <si>
    <t xml:space="preserve">Min Price (₹)</t>
  </si>
  <si>
    <t xml:space="preserve">Max Price (₹)</t>
  </si>
  <si>
    <t xml:space="preserve">Avg Price (₹)</t>
  </si>
  <si>
    <t xml:space="preserve">Total (₹)</t>
  </si>
  <si>
    <t xml:space="preserve">CLASSROOM FURNITURE &amp; AV (30 Classrooms)</t>
  </si>
  <si>
    <t xml:space="preserve">Student desk-bench (2-seater, MS frame)</t>
  </si>
  <si>
    <t xml:space="preserve">MS frame + commercial ply + laminate; 2-seater; powder coated</t>
  </si>
  <si>
    <t xml:space="preserve">Teacher's desk + chair set</t>
  </si>
  <si>
    <t xml:space="preserve">60W×30D wooden desk; high-back fabric chair</t>
  </si>
  <si>
    <t xml:space="preserve">sets</t>
  </si>
  <si>
    <t xml:space="preserve">Interactive Flat Panel (75-inch 4K)</t>
  </si>
  <si>
    <t xml:space="preserve">Teachmint/Cornea/DeltaView; 4K; 10-touch; Android 14; EDLA; 3yr warranty</t>
  </si>
  <si>
    <t xml:space="preserve">IFP wall bracket</t>
  </si>
  <si>
    <t xml:space="preserve">Heavy duty wall mount for 75-inch panel</t>
  </si>
  <si>
    <t xml:space="preserve">PA speaker system (per classroom)</t>
  </si>
  <si>
    <t xml:space="preserve">Wall speaker + wired mic + amplifier; 15W</t>
  </si>
  <si>
    <t xml:space="preserve">Wi-Fi access point</t>
  </si>
  <si>
    <t xml:space="preserve">Indoor ceiling mount; 300 Mbps+; dual-band</t>
  </si>
  <si>
    <t xml:space="preserve">Magnetic whiteboard (backup)</t>
  </si>
  <si>
    <t xml:space="preserve">6ft × 4ft; white surface; wall mount</t>
  </si>
  <si>
    <t xml:space="preserve">CCTV dome camera per classroom</t>
  </si>
  <si>
    <t xml:space="preserve">2MP IP HD dome; included in campus CCTV budget</t>
  </si>
  <si>
    <t xml:space="preserve">SUBTOTAL — CLASSROOM FURNITURE &amp; AV (30 Classrooms)</t>
  </si>
  <si>
    <t xml:space="preserve">SCIENCE LABORATORIES (4 Labs)</t>
  </si>
  <si>
    <t xml:space="preserve">Physics Lab — full CBSE package (Cl. 9–12)</t>
  </si>
  <si>
    <t xml:space="preserve">Vernier calipers, optical bench, pendulum, ammeter, voltmeter, magnets, electrical kits — NCERT compliant</t>
  </si>
  <si>
    <t xml:space="preserve">set</t>
  </si>
  <si>
    <t xml:space="preserve">Physics Lab — furniture (benches+demo table)</t>
  </si>
  <si>
    <t xml:space="preserve">6 island benches; teacher demo table; stools; storage</t>
  </si>
  <si>
    <t xml:space="preserve">Chemistry Lab — full CBSE package (Cl. 9–12)</t>
  </si>
  <si>
    <t xml:space="preserve">Glassware, burners, titration, chemicals, reagents, indicators — NCERT compliant</t>
  </si>
  <si>
    <t xml:space="preserve">Fume hoods (2 nos.)</t>
  </si>
  <si>
    <t xml:space="preserve">Commercial fume hood; ducted; PP/SS; safety glass sash</t>
  </si>
  <si>
    <t xml:space="preserve">Chemistry Lab — furniture (wet benches+sink)</t>
  </si>
  <si>
    <t xml:space="preserve">8 wet benches with sinks+gas+water; reagent racks; demo table</t>
  </si>
  <si>
    <t xml:space="preserve">Chemistry Lab — safety kit</t>
  </si>
  <si>
    <t xml:space="preserve">Fire extinguisher, eyewash station, first aid kit, safety shower</t>
  </si>
  <si>
    <t xml:space="preserve">Biology Lab — full CBSE package (Cl. 9–12)</t>
  </si>
  <si>
    <t xml:space="preserve">30 compound microscopes, slides, specimens, dissection kits, anatomical models, charts</t>
  </si>
  <si>
    <t xml:space="preserve">Biology Lab — furniture</t>
  </si>
  <si>
    <t xml:space="preserve">6 island benches; specimen cabinets; demo table; stools</t>
  </si>
  <si>
    <t xml:space="preserve">Junior Science Lab — composite kit (Cl. 5–8)</t>
  </si>
  <si>
    <t xml:space="preserve">Basic physics+chemistry+biology kit for 30 students</t>
  </si>
  <si>
    <t xml:space="preserve">Safety PPE all labs (gloves, aprons, goggles)</t>
  </si>
  <si>
    <t xml:space="preserve">Per lab set of 30 PPE kits</t>
  </si>
  <si>
    <t xml:space="preserve">lab sets</t>
  </si>
  <si>
    <t xml:space="preserve">SUBTOTAL — SCIENCE LABORATORIES (4 Labs)</t>
  </si>
  <si>
    <t xml:space="preserve">COMPUTER &amp; TECHNOLOGY LABS</t>
  </si>
  <si>
    <t xml:space="preserve">Desktop computer — Computer Lab (i5)</t>
  </si>
  <si>
    <t xml:space="preserve">Intel Core i5 (13th Gen); 16GB RAM; 512GB SSD; Win11+Office; 21.5" monitor; keyboard+mouse</t>
  </si>
  <si>
    <t xml:space="preserve">Computer lab table + chair per student</t>
  </si>
  <si>
    <t xml:space="preserve">L-shaped 24×18 table; ergonomic chair</t>
  </si>
  <si>
    <t xml:space="preserve">Network switch for computer lab</t>
  </si>
  <si>
    <t xml:space="preserve">24-port Gigabit managed switch</t>
  </si>
  <si>
    <t xml:space="preserve">UPS for computer lab</t>
  </si>
  <si>
    <t xml:space="preserve">2KVA online UPS; 30-min backup for 40 PCs</t>
  </si>
  <si>
    <t xml:space="preserve">Desktop computer — Robotics Lab (i7)</t>
  </si>
  <si>
    <t xml:space="preserve">Intel Core i7; 32GB RAM; 1TB SSD — workstation for AI/coding</t>
  </si>
  <si>
    <t xml:space="preserve">Robotics kits (Arduino/Raspberry Pi based)</t>
  </si>
  <si>
    <t xml:space="preserve">Arduino+RPi kit; IoT sensors; breadboard; components per kit</t>
  </si>
  <si>
    <t xml:space="preserve">kits</t>
  </si>
  <si>
    <t xml:space="preserve">3D Printer (FDM)</t>
  </si>
  <si>
    <t xml:space="preserve">30×30×30cm build volume; 0.1mm resolution; filaments</t>
  </si>
  <si>
    <t xml:space="preserve">School network server (Eduval ERP host)</t>
  </si>
  <si>
    <t xml:space="preserve">Rack server 2U; Intel Xeon; 32GB ECC; 4TB RAID storage</t>
  </si>
  <si>
    <t xml:space="preserve">SUBTOTAL — COMPUTER &amp; TECHNOLOGY LABS</t>
  </si>
  <si>
    <t xml:space="preserve">ARTS / MUSIC STUDIO</t>
  </si>
  <si>
    <t xml:space="preserve">Electronic keyboard (Casio/Yamaha)</t>
  </si>
  <si>
    <t xml:space="preserve">61-key with speakers and stand</t>
  </si>
  <si>
    <t xml:space="preserve">Tabla set</t>
  </si>
  <si>
    <t xml:space="preserve">Professional quality; includes bayan+dayan+cushion</t>
  </si>
  <si>
    <t xml:space="preserve">Harmonium</t>
  </si>
  <si>
    <t xml:space="preserve">Standard pump harmonium; double reed</t>
  </si>
  <si>
    <t xml:space="preserve">Acoustic guitar</t>
  </si>
  <si>
    <t xml:space="preserve">Full size; beginner-intermediate grade</t>
  </si>
  <si>
    <t xml:space="preserve">Easels + art boards</t>
  </si>
  <si>
    <t xml:space="preserve">Wooden studio easel; A1 boards for drawing</t>
  </si>
  <si>
    <t xml:space="preserve">Pottery wheel + kiln</t>
  </si>
  <si>
    <t xml:space="preserve">Electric pottery wheel; tabletop electric kiln</t>
  </si>
  <si>
    <t xml:space="preserve">SUBTOTAL — ARTS / MUSIC STUDIO</t>
  </si>
  <si>
    <t xml:space="preserve">ADMIN &amp; STAFF ROOMS</t>
  </si>
  <si>
    <t xml:space="preserve">Principal office furniture</t>
  </si>
  <si>
    <t xml:space="preserve">Executive desk; credenza; 6-chair meeting table; visitor chairs</t>
  </si>
  <si>
    <t xml:space="preserve">VP office furniture set (×3)</t>
  </si>
  <si>
    <t xml:space="preserve">Executive desk; 2 visitor chairs; bookshelf per VP</t>
  </si>
  <si>
    <t xml:space="preserve">Admin/reception counter</t>
  </si>
  <si>
    <t xml:space="preserve">Reception counter + back office workstations × 4</t>
  </si>
  <si>
    <t xml:space="preserve">Staff room workstations (×5 depts)</t>
  </si>
  <si>
    <t xml:space="preserve">6 workstations per dept room; chairs; storage</t>
  </si>
  <si>
    <t xml:space="preserve">Seminar room furniture (×4)</t>
  </si>
  <si>
    <t xml:space="preserve">12-seat conference table; chairs; projector screen</t>
  </si>
  <si>
    <t xml:space="preserve">Medical bay equipment</t>
  </si>
  <si>
    <t xml:space="preserve">2 examination beds; first aid cabinet; BP/temperature instruments</t>
  </si>
  <si>
    <t xml:space="preserve">SUBTOTAL — ADMIN &amp; STAFF ROOMS</t>
  </si>
  <si>
    <t xml:space="preserve">CANTEEN KITCHEN &amp; DINING</t>
  </si>
  <si>
    <t xml:space="preserve">Commercial cooking range (6-burner PNG)</t>
  </si>
  <si>
    <t xml:space="preserve">Heavy duty SS; 6-burner; PNG; stand</t>
  </si>
  <si>
    <t xml:space="preserve">Commercial tilting braising pan (200L)</t>
  </si>
  <si>
    <t xml:space="preserve">SS; electric/gas; 200L capacity for bulk cooking</t>
  </si>
  <si>
    <t xml:space="preserve">Commercial food steamer</t>
  </si>
  <si>
    <t xml:space="preserve">Large capacity SS steamer</t>
  </si>
  <si>
    <t xml:space="preserve">Walk-in cold room</t>
  </si>
  <si>
    <t xml:space="preserve">12×10 ft SS lined; compressor; shelving</t>
  </si>
  <si>
    <t xml:space="preserve">Commercial chest freezer (500L)</t>
  </si>
  <si>
    <t xml:space="preserve">SS lined; -18°C; 500L</t>
  </si>
  <si>
    <t xml:space="preserve">Exhaust canopy + fan</t>
  </si>
  <si>
    <t xml:space="preserve">SS canopy 2m over each range; 2000 CFM fan</t>
  </si>
  <si>
    <t xml:space="preserve">Commercial dishwasher</t>
  </si>
  <si>
    <t xml:space="preserve">Pass-through; 600 plates/hour; Hobart/IMC type</t>
  </si>
  <si>
    <t xml:space="preserve">Canteen dining table + 4 chairs</t>
  </si>
  <si>
    <t xml:space="preserve">SS frame; laminate top; 4-seater set</t>
  </si>
  <si>
    <t xml:space="preserve">Deeper Coins POS terminal</t>
  </si>
  <si>
    <t xml:space="preserve">RFID reader + touchscreen POS</t>
  </si>
  <si>
    <t xml:space="preserve">SUBTOTAL — CANTEEN KITCHEN &amp; DINING</t>
  </si>
  <si>
    <t xml:space="preserve">HOSTEL FURNITURE (576 RESIDENTIAL STUDENTS)</t>
  </si>
  <si>
    <t xml:space="preserve">Hostel bunk bed (2-tier, MS pipe)</t>
  </si>
  <si>
    <t xml:space="preserve">MS pipe; 3×6 ft; powder coated; 2-tier</t>
  </si>
  <si>
    <t xml:space="preserve">Student wardrobe (lockable, per student)</t>
  </si>
  <si>
    <t xml:space="preserve">Steel; 3-shelf; 18-inch wide; lockable</t>
  </si>
  <si>
    <t xml:space="preserve">Hostel study desk + chair (per student)</t>
  </si>
  <si>
    <t xml:space="preserve">36×18 inch desk; ergonomic chair</t>
  </si>
  <si>
    <t xml:space="preserve">Self-study hall carrel desks</t>
  </si>
  <si>
    <t xml:space="preserve">Individual study carrel; 24W×18D; partition</t>
  </si>
  <si>
    <t xml:space="preserve">Hostel common room (per block, ×6 blocks)</t>
  </si>
  <si>
    <t xml:space="preserve">Sofa set + TV unit + indoor games table</t>
  </si>
  <si>
    <t xml:space="preserve">Hostel washing machines</t>
  </si>
  <si>
    <t xml:space="preserve">Commercial front-load 12 kg; per 50 students</t>
  </si>
  <si>
    <t xml:space="preserve">SUBTOTAL — HOSTEL FURNITURE (576 RESIDENTIAL STUDENTS)</t>
  </si>
  <si>
    <t xml:space="preserve">TECHNOLOGY SYSTEMS (School Block)</t>
  </si>
  <si>
    <t xml:space="preserve">CCTV cameras — school block (100 cameras)</t>
  </si>
  <si>
    <t xml:space="preserve">2MP IP dome; PoE; indoor/outdoor; 30-day NVR</t>
  </si>
  <si>
    <t xml:space="preserve">NVR + storage (school block)</t>
  </si>
  <si>
    <t xml:space="preserve">32-channel NVR; 8TB HDD for 30-day retention</t>
  </si>
  <si>
    <t xml:space="preserve">Wi-Fi access points — school block</t>
  </si>
  <si>
    <t xml:space="preserve">Indoor ceiling AP; 300Mbps+; incl. controller</t>
  </si>
  <si>
    <t xml:space="preserve">Digital PA system + bell</t>
  </si>
  <si>
    <t xml:space="preserve">Centralised PA controller; 100W amplifier; speakers in 60 rooms+corridors</t>
  </si>
  <si>
    <t xml:space="preserve">system</t>
  </si>
  <si>
    <t xml:space="preserve">Facial recognition attendance cameras</t>
  </si>
  <si>
    <t xml:space="preserve">AI camera at classroom entry; integrates with Eduval ERP</t>
  </si>
  <si>
    <t xml:space="preserve">RFID student ID card system</t>
  </si>
  <si>
    <t xml:space="preserve">Cards + readers at gates, canteen, library</t>
  </si>
  <si>
    <t xml:space="preserve">Rooftop solar system (75 KWp)</t>
  </si>
  <si>
    <t xml:space="preserve">Poly panels; inverter; mounting; net metering</t>
  </si>
  <si>
    <t xml:space="preserve">KWp</t>
  </si>
  <si>
    <t xml:space="preserve">UPS for critical areas (server, medical, labs)</t>
  </si>
  <si>
    <t xml:space="preserve">10 KVA online UPS; 2-hour battery backup</t>
  </si>
  <si>
    <t xml:space="preserve">SUBTOTAL — TECHNOLOGY SYSTEMS (School Block)</t>
  </si>
  <si>
    <t xml:space="preserve">GRAND TOTAL — SCHOOL FIT-OUT &amp; EQUIPMENT</t>
  </si>
  <si>
    <t xml:space="preserve">TOTAL WITH CONTINGENCY — SCHOOL FIT-OUT</t>
  </si>
  <si>
    <t xml:space="preserve">LIBRARY  —  FIT-OUT, FURNITURE &amp; EQUIPMENT COST SHEET</t>
  </si>
  <si>
    <t xml:space="preserve">Prices from Pune/Maharashtra market — July 2026. Library initial setup budget per survey: ₹20 Lakhs.</t>
  </si>
  <si>
    <t xml:space="preserve">Steel double-sided library shelving unit</t>
  </si>
  <si>
    <t xml:space="preserve">6-shelf; 3ft wide × 6ft tall; double-sided; 48 books/shelf/face</t>
  </si>
  <si>
    <t xml:space="preserve">Individual reading carrel desk (main hall)</t>
  </si>
  <si>
    <t xml:space="preserve">24W×18D; MDF/hardwood; side partition; lockable drawer</t>
  </si>
  <si>
    <t xml:space="preserve">Reading chair (padded, armed)</t>
  </si>
  <si>
    <t xml:space="preserve">Fabric padded; armrests; sturdy legs; institutional grade</t>
  </si>
  <si>
    <t xml:space="preserve">Child-scale shelving — Junior library</t>
  </si>
  <si>
    <t xml:space="preserve">Face-out display; 3ft tall; colourful; adjustable</t>
  </si>
  <si>
    <t xml:space="preserve">Child-scale round table + 4 chairs</t>
  </si>
  <si>
    <t xml:space="preserve">36-inch round; child-scale; durable; colourful</t>
  </si>
  <si>
    <t xml:space="preserve">Study room table + 10 chairs (10-seater)</t>
  </si>
  <si>
    <t xml:space="preserve">8ft conference table; upholstered chairs</t>
  </si>
  <si>
    <t xml:space="preserve">RFID library management system</t>
  </si>
  <si>
    <t xml:space="preserve">Tags for 10,000 books; RFID gate (2 nos.); staff terminal; membership cards</t>
  </si>
  <si>
    <t xml:space="preserve">e-Library desktop computers</t>
  </si>
  <si>
    <t xml:space="preserve">Intel Core i5; 21.5" monitor; for digital database access</t>
  </si>
  <si>
    <t xml:space="preserve">Librarian workstation</t>
  </si>
  <si>
    <t xml:space="preserve">Height-adj desk; ergonomic chair; dual monitor; RFID terminal</t>
  </si>
  <si>
    <t xml:space="preserve">Newspaper/magazine display rack</t>
  </si>
  <si>
    <t xml:space="preserve">Wall or floor-standing; holds 10–15 newspapers</t>
  </si>
  <si>
    <t xml:space="preserve">Book trolley (SS on wheels)</t>
  </si>
  <si>
    <t xml:space="preserve">SS shelves; 4 wheels; for shelf replenishment</t>
  </si>
  <si>
    <t xml:space="preserve">Study room AV screen</t>
  </si>
  <si>
    <t xml:space="preserve">60-inch display screen; wall mount; HDMI input</t>
  </si>
  <si>
    <t xml:space="preserve">10,000 physical books (initial collection)</t>
  </si>
  <si>
    <t xml:space="preserve">Mix: NCERT ₹200, reference ₹400, fiction ₹250, Marathi ₹200, children ₹150 avg ₹200</t>
  </si>
  <si>
    <t xml:space="preserve">books</t>
  </si>
  <si>
    <t xml:space="preserve">Annual digital database subscriptions</t>
  </si>
  <si>
    <t xml:space="preserve">NCERT digital; academic journals (JSTOR); online resources — Year 1</t>
  </si>
  <si>
    <t xml:space="preserve">Library Wi-Fi + CCTV (10 cameras)</t>
  </si>
  <si>
    <t xml:space="preserve">Ceiling APs + cameras specific to library block</t>
  </si>
  <si>
    <t xml:space="preserve">GRAND TOTAL — LIBRARY FIT-OUT</t>
  </si>
  <si>
    <t xml:space="preserve">TOTAL WITH CONTINGENCY — LIBRARY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</si>
</sst>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i val="true"/>
      <sz val="9"/>
      <color rgb="FFB71C1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695C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FFF8E1"/>
        <bgColor rgb="FFF0F8F0"/>
      </patternFill>
    </fill>
    <fill>
      <patternFill patternType="solid">
        <fgColor rgb="FFEEF4FF"/>
        <bgColor rgb="FFF0F4FF"/>
      </patternFill>
    </fill>
    <fill>
      <patternFill patternType="solid">
        <fgColor rgb="FFFFFFFF"/>
        <bgColor rgb="FFF0FFFC"/>
      </patternFill>
    </fill>
    <fill>
      <patternFill patternType="solid">
        <fgColor rgb="FF1565C0"/>
        <bgColor rgb="FF3366FF"/>
      </patternFill>
    </fill>
    <fill>
      <patternFill patternType="solid">
        <fgColor rgb="FFFFEBEE"/>
        <bgColor rgb="FFFFF8E1"/>
      </patternFill>
    </fill>
    <fill>
      <patternFill patternType="solid">
        <fgColor rgb="FFF0F4FF"/>
        <bgColor rgb="FFEEF4FF"/>
      </patternFill>
    </fill>
    <fill>
      <patternFill patternType="solid">
        <fgColor rgb="FF1B5E20"/>
        <bgColor rgb="FF00695C"/>
      </patternFill>
    </fill>
    <fill>
      <patternFill patternType="solid">
        <fgColor rgb="FFF0F8F0"/>
        <bgColor rgb="FFF0F4FF"/>
      </patternFill>
    </fill>
    <fill>
      <patternFill patternType="solid">
        <fgColor rgb="FF00695C"/>
        <bgColor rgb="FF008080"/>
      </patternFill>
    </fill>
    <fill>
      <patternFill patternType="solid">
        <fgColor rgb="FFF0FFFC"/>
        <bgColor rgb="FFF0F8F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medium">
        <color rgb="FF1A237E"/>
      </left>
      <right style="medium">
        <color rgb="FF1A237E"/>
      </right>
      <top style="medium">
        <color rgb="FF1A237E"/>
      </top>
      <bottom style="medium">
        <color rgb="FF1A237E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FFAAAA"/>
      </left>
      <right/>
      <top style="thin">
        <color rgb="FFFFAAAA"/>
      </top>
      <bottom style="thin">
        <color rgb="FFFFAAAA"/>
      </bottom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 diagonalUp="false" diagonalDown="false">
      <left style="medium">
        <color rgb="FF00695C"/>
      </left>
      <right style="medium">
        <color rgb="FF00695C"/>
      </right>
      <top style="medium">
        <color rgb="FF00695C"/>
      </top>
      <bottom style="medium">
        <color rgb="FF0069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9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1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695C"/>
      <rgbColor rgb="FFAAAAAA"/>
      <rgbColor rgb="FF888888"/>
      <rgbColor rgb="FF9999FF"/>
      <rgbColor rgb="FF993366"/>
      <rgbColor rgb="FFFFF8E1"/>
      <rgbColor rgb="FFF0FFFC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F0F8F0"/>
      <rgbColor rgb="FFFFEBEE"/>
      <rgbColor rgb="FF99CCFF"/>
      <rgbColor rgb="FFFFAAAA"/>
      <rgbColor rgb="FFCC99FF"/>
      <rgbColor rgb="FFF0F4FF"/>
      <rgbColor rgb="FF3366FF"/>
      <rgbColor rgb="FF33CCCC"/>
      <rgbColor rgb="FF99CC00"/>
      <rgbColor rgb="FFFFCC00"/>
      <rgbColor rgb="FFFF9900"/>
      <rgbColor rgb="FFE65100"/>
      <rgbColor rgb="FF666666"/>
      <rgbColor rgb="FF999999"/>
      <rgbColor rgb="FF1A237E"/>
      <rgbColor rgb="FF339966"/>
      <rgbColor rgb="FF003300"/>
      <rgbColor rgb="FF333300"/>
      <rgbColor rgb="FFB71C1C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8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19.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6" t="s">
        <v>13</v>
      </c>
      <c r="F6" s="5" t="s">
        <v>14</v>
      </c>
    </row>
    <row r="7" customFormat="false" ht="19.5" hidden="false" customHeight="true" outlineLevel="0" collapsed="false">
      <c r="A7" s="7" t="s">
        <v>15</v>
      </c>
      <c r="B7" s="7" t="s">
        <v>10</v>
      </c>
      <c r="C7" s="7" t="s">
        <v>16</v>
      </c>
      <c r="D7" s="7" t="s">
        <v>12</v>
      </c>
      <c r="E7" s="8" t="s">
        <v>17</v>
      </c>
      <c r="F7" s="7" t="s">
        <v>18</v>
      </c>
    </row>
    <row r="8" customFormat="false" ht="19.5" hidden="false" customHeight="true" outlineLevel="0" collapsed="false">
      <c r="A8" s="5" t="s">
        <v>19</v>
      </c>
      <c r="B8" s="5" t="s">
        <v>10</v>
      </c>
      <c r="C8" s="5" t="s">
        <v>20</v>
      </c>
      <c r="D8" s="5" t="s">
        <v>12</v>
      </c>
      <c r="E8" s="6" t="s">
        <v>21</v>
      </c>
      <c r="F8" s="5" t="s">
        <v>22</v>
      </c>
    </row>
    <row r="9" customFormat="false" ht="19.5" hidden="false" customHeight="true" outlineLevel="0" collapsed="false">
      <c r="A9" s="7" t="s">
        <v>23</v>
      </c>
      <c r="B9" s="7" t="s">
        <v>10</v>
      </c>
      <c r="C9" s="7" t="s">
        <v>24</v>
      </c>
      <c r="D9" s="7" t="s">
        <v>25</v>
      </c>
      <c r="E9" s="8" t="s">
        <v>26</v>
      </c>
      <c r="F9" s="7" t="s">
        <v>27</v>
      </c>
    </row>
    <row r="10" customFormat="false" ht="19.5" hidden="false" customHeight="true" outlineLevel="0" collapsed="false">
      <c r="A10" s="5" t="s">
        <v>28</v>
      </c>
      <c r="B10" s="5" t="s">
        <v>10</v>
      </c>
      <c r="C10" s="5" t="s">
        <v>29</v>
      </c>
      <c r="D10" s="5" t="s">
        <v>30</v>
      </c>
      <c r="E10" s="6" t="s">
        <v>31</v>
      </c>
      <c r="F10" s="5" t="s">
        <v>32</v>
      </c>
    </row>
    <row r="11" customFormat="false" ht="19.5" hidden="false" customHeight="true" outlineLevel="0" collapsed="false">
      <c r="A11" s="7" t="s">
        <v>33</v>
      </c>
      <c r="B11" s="7" t="s">
        <v>10</v>
      </c>
      <c r="C11" s="7" t="s">
        <v>34</v>
      </c>
      <c r="D11" s="7" t="s">
        <v>35</v>
      </c>
      <c r="E11" s="8" t="s">
        <v>36</v>
      </c>
      <c r="F11" s="7" t="s">
        <v>37</v>
      </c>
    </row>
    <row r="12" customFormat="false" ht="19.5" hidden="false" customHeight="true" outlineLevel="0" collapsed="false">
      <c r="A12" s="5" t="s">
        <v>38</v>
      </c>
      <c r="B12" s="5" t="s">
        <v>10</v>
      </c>
      <c r="C12" s="5" t="s">
        <v>39</v>
      </c>
      <c r="D12" s="5" t="s">
        <v>40</v>
      </c>
      <c r="E12" s="6" t="s">
        <v>41</v>
      </c>
      <c r="F12" s="5" t="s">
        <v>42</v>
      </c>
    </row>
    <row r="13" customFormat="false" ht="19.5" hidden="false" customHeight="true" outlineLevel="0" collapsed="false">
      <c r="A13" s="7" t="s">
        <v>43</v>
      </c>
      <c r="B13" s="7" t="s">
        <v>10</v>
      </c>
      <c r="C13" s="7" t="s">
        <v>44</v>
      </c>
      <c r="D13" s="7" t="s">
        <v>45</v>
      </c>
      <c r="E13" s="8" t="s">
        <v>45</v>
      </c>
      <c r="F13" s="7" t="s">
        <v>46</v>
      </c>
    </row>
    <row r="14" customFormat="false" ht="19.5" hidden="false" customHeight="true" outlineLevel="0" collapsed="false">
      <c r="A14" s="5" t="s">
        <v>47</v>
      </c>
      <c r="B14" s="5" t="s">
        <v>10</v>
      </c>
      <c r="C14" s="5" t="s">
        <v>48</v>
      </c>
      <c r="D14" s="5" t="s">
        <v>25</v>
      </c>
      <c r="E14" s="6" t="s">
        <v>31</v>
      </c>
      <c r="F14" s="5" t="s">
        <v>49</v>
      </c>
    </row>
    <row r="15" customFormat="false" ht="19.5" hidden="false" customHeight="true" outlineLevel="0" collapsed="false">
      <c r="A15" s="7" t="s">
        <v>50</v>
      </c>
      <c r="B15" s="7" t="s">
        <v>10</v>
      </c>
      <c r="C15" s="7" t="s">
        <v>51</v>
      </c>
      <c r="D15" s="7" t="s">
        <v>52</v>
      </c>
      <c r="E15" s="8" t="s">
        <v>53</v>
      </c>
      <c r="F15" s="7" t="s">
        <v>54</v>
      </c>
    </row>
    <row r="16" customFormat="false" ht="19.5" hidden="false" customHeight="true" outlineLevel="0" collapsed="false">
      <c r="A16" s="5" t="s">
        <v>55</v>
      </c>
      <c r="B16" s="5" t="s">
        <v>10</v>
      </c>
      <c r="C16" s="5" t="s">
        <v>44</v>
      </c>
      <c r="D16" s="5" t="s">
        <v>56</v>
      </c>
      <c r="E16" s="6" t="s">
        <v>57</v>
      </c>
      <c r="F16" s="5" t="s">
        <v>58</v>
      </c>
    </row>
    <row r="17" customFormat="false" ht="21.75" hidden="false" customHeight="true" outlineLevel="0" collapsed="false">
      <c r="A17" s="9" t="s">
        <v>59</v>
      </c>
      <c r="B17" s="9"/>
      <c r="C17" s="9"/>
      <c r="D17" s="9"/>
      <c r="E17" s="10" t="s">
        <v>60</v>
      </c>
      <c r="F17" s="9"/>
    </row>
    <row r="18" customFormat="false" ht="18" hidden="false" customHeight="true" outlineLevel="0" collapsed="false">
      <c r="A18" s="4" t="s">
        <v>61</v>
      </c>
      <c r="B18" s="4"/>
      <c r="C18" s="4"/>
      <c r="D18" s="4"/>
      <c r="E18" s="4"/>
      <c r="F18" s="4"/>
    </row>
    <row r="19" customFormat="false" ht="19.5" hidden="false" customHeight="true" outlineLevel="0" collapsed="false">
      <c r="A19" s="7" t="s">
        <v>62</v>
      </c>
      <c r="B19" s="7" t="s">
        <v>63</v>
      </c>
      <c r="C19" s="7" t="s">
        <v>64</v>
      </c>
      <c r="D19" s="7" t="s">
        <v>56</v>
      </c>
      <c r="E19" s="8" t="s">
        <v>65</v>
      </c>
      <c r="F19" s="7" t="s">
        <v>66</v>
      </c>
    </row>
    <row r="20" customFormat="false" ht="19.5" hidden="false" customHeight="true" outlineLevel="0" collapsed="false">
      <c r="A20" s="5" t="s">
        <v>67</v>
      </c>
      <c r="B20" s="5" t="s">
        <v>63</v>
      </c>
      <c r="C20" s="5" t="s">
        <v>68</v>
      </c>
      <c r="D20" s="5" t="s">
        <v>56</v>
      </c>
      <c r="E20" s="6" t="s">
        <v>69</v>
      </c>
      <c r="F20" s="5" t="s">
        <v>70</v>
      </c>
    </row>
    <row r="21" customFormat="false" ht="19.5" hidden="false" customHeight="true" outlineLevel="0" collapsed="false">
      <c r="A21" s="7" t="s">
        <v>71</v>
      </c>
      <c r="B21" s="7" t="s">
        <v>63</v>
      </c>
      <c r="C21" s="7" t="s">
        <v>72</v>
      </c>
      <c r="D21" s="7" t="s">
        <v>56</v>
      </c>
      <c r="E21" s="8" t="s">
        <v>73</v>
      </c>
      <c r="F21" s="7" t="s">
        <v>74</v>
      </c>
    </row>
    <row r="22" customFormat="false" ht="19.5" hidden="false" customHeight="true" outlineLevel="0" collapsed="false">
      <c r="A22" s="5" t="s">
        <v>75</v>
      </c>
      <c r="B22" s="5" t="s">
        <v>63</v>
      </c>
      <c r="C22" s="5" t="s">
        <v>76</v>
      </c>
      <c r="D22" s="5" t="s">
        <v>56</v>
      </c>
      <c r="E22" s="6" t="s">
        <v>77</v>
      </c>
      <c r="F22" s="5" t="s">
        <v>78</v>
      </c>
    </row>
    <row r="23" customFormat="false" ht="19.5" hidden="false" customHeight="true" outlineLevel="0" collapsed="false">
      <c r="A23" s="7" t="s">
        <v>79</v>
      </c>
      <c r="B23" s="7" t="s">
        <v>63</v>
      </c>
      <c r="C23" s="7" t="s">
        <v>80</v>
      </c>
      <c r="D23" s="7" t="s">
        <v>56</v>
      </c>
      <c r="E23" s="8" t="s">
        <v>81</v>
      </c>
      <c r="F23" s="7" t="s">
        <v>82</v>
      </c>
    </row>
    <row r="24" customFormat="false" ht="19.5" hidden="false" customHeight="true" outlineLevel="0" collapsed="false">
      <c r="A24" s="5" t="s">
        <v>83</v>
      </c>
      <c r="B24" s="5" t="s">
        <v>63</v>
      </c>
      <c r="C24" s="5" t="s">
        <v>84</v>
      </c>
      <c r="D24" s="5" t="s">
        <v>56</v>
      </c>
      <c r="E24" s="6" t="s">
        <v>85</v>
      </c>
      <c r="F24" s="5" t="s">
        <v>86</v>
      </c>
    </row>
    <row r="25" customFormat="false" ht="19.5" hidden="false" customHeight="true" outlineLevel="0" collapsed="false">
      <c r="A25" s="7" t="s">
        <v>87</v>
      </c>
      <c r="B25" s="7" t="s">
        <v>63</v>
      </c>
      <c r="C25" s="7" t="s">
        <v>88</v>
      </c>
      <c r="D25" s="7" t="s">
        <v>56</v>
      </c>
      <c r="E25" s="8" t="s">
        <v>89</v>
      </c>
      <c r="F25" s="7" t="s">
        <v>90</v>
      </c>
    </row>
    <row r="26" customFormat="false" ht="19.5" hidden="false" customHeight="true" outlineLevel="0" collapsed="false">
      <c r="A26" s="5" t="s">
        <v>91</v>
      </c>
      <c r="B26" s="5" t="s">
        <v>63</v>
      </c>
      <c r="C26" s="5" t="s">
        <v>88</v>
      </c>
      <c r="D26" s="5" t="s">
        <v>56</v>
      </c>
      <c r="E26" s="6" t="s">
        <v>92</v>
      </c>
      <c r="F26" s="5" t="s">
        <v>66</v>
      </c>
    </row>
    <row r="27" customFormat="false" ht="19.5" hidden="false" customHeight="true" outlineLevel="0" collapsed="false">
      <c r="A27" s="7" t="s">
        <v>93</v>
      </c>
      <c r="B27" s="7" t="s">
        <v>63</v>
      </c>
      <c r="C27" s="7" t="s">
        <v>94</v>
      </c>
      <c r="D27" s="7" t="s">
        <v>56</v>
      </c>
      <c r="E27" s="8" t="s">
        <v>95</v>
      </c>
      <c r="F27" s="7" t="s">
        <v>96</v>
      </c>
    </row>
    <row r="28" customFormat="false" ht="19.5" hidden="false" customHeight="true" outlineLevel="0" collapsed="false">
      <c r="A28" s="5" t="s">
        <v>97</v>
      </c>
      <c r="B28" s="5" t="s">
        <v>63</v>
      </c>
      <c r="C28" s="5" t="s">
        <v>98</v>
      </c>
      <c r="D28" s="5" t="s">
        <v>56</v>
      </c>
      <c r="E28" s="6" t="s">
        <v>99</v>
      </c>
      <c r="F28" s="5" t="s">
        <v>100</v>
      </c>
    </row>
    <row r="29" customFormat="false" ht="19.5" hidden="false" customHeight="true" outlineLevel="0" collapsed="false">
      <c r="A29" s="7" t="s">
        <v>101</v>
      </c>
      <c r="B29" s="7" t="s">
        <v>63</v>
      </c>
      <c r="C29" s="7" t="s">
        <v>102</v>
      </c>
      <c r="D29" s="7" t="s">
        <v>56</v>
      </c>
      <c r="E29" s="8" t="s">
        <v>103</v>
      </c>
      <c r="F29" s="7" t="s">
        <v>104</v>
      </c>
    </row>
    <row r="30" customFormat="false" ht="21.75" hidden="false" customHeight="true" outlineLevel="0" collapsed="false">
      <c r="A30" s="9" t="s">
        <v>105</v>
      </c>
      <c r="B30" s="9"/>
      <c r="C30" s="9"/>
      <c r="D30" s="9"/>
      <c r="E30" s="10" t="s">
        <v>106</v>
      </c>
      <c r="F30" s="9"/>
    </row>
    <row r="31" customFormat="false" ht="25.5" hidden="false" customHeight="true" outlineLevel="0" collapsed="false">
      <c r="A31" s="11" t="s">
        <v>107</v>
      </c>
      <c r="B31" s="11"/>
      <c r="C31" s="11"/>
      <c r="D31" s="11"/>
      <c r="E31" s="12" t="s">
        <v>108</v>
      </c>
      <c r="F31" s="11" t="s">
        <v>109</v>
      </c>
    </row>
    <row r="32" customFormat="false" ht="19.5" hidden="false" customHeight="true" outlineLevel="0" collapsed="false">
      <c r="A32" s="13" t="s">
        <v>110</v>
      </c>
      <c r="B32" s="13"/>
      <c r="C32" s="13"/>
      <c r="D32" s="13"/>
      <c r="E32" s="14" t="s">
        <v>111</v>
      </c>
      <c r="F32" s="13" t="s">
        <v>112</v>
      </c>
    </row>
    <row r="33" customFormat="false" ht="25.5" hidden="false" customHeight="true" outlineLevel="0" collapsed="false">
      <c r="A33" s="11" t="s">
        <v>113</v>
      </c>
      <c r="B33" s="11"/>
      <c r="C33" s="11"/>
      <c r="D33" s="11"/>
      <c r="E33" s="12" t="s">
        <v>114</v>
      </c>
      <c r="F33" s="11" t="s">
        <v>115</v>
      </c>
    </row>
    <row r="36" customFormat="false" ht="39.75" hidden="false" customHeight="true" outlineLevel="0" collapsed="false">
      <c r="A36" s="15" t="s">
        <v>116</v>
      </c>
      <c r="B36" s="15"/>
      <c r="C36" s="15"/>
      <c r="D36" s="15"/>
      <c r="E36" s="15"/>
      <c r="F36" s="15"/>
    </row>
  </sheetData>
  <mergeCells count="5">
    <mergeCell ref="A1:F1"/>
    <mergeCell ref="A2:F2"/>
    <mergeCell ref="A5:F5"/>
    <mergeCell ref="A18:F18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32"/>
  </cols>
  <sheetData>
    <row r="1" customFormat="false" ht="27.75" hidden="false" customHeight="true" outlineLevel="0" collapsed="false">
      <c r="A1" s="16" t="s">
        <v>117</v>
      </c>
      <c r="B1" s="16"/>
      <c r="C1" s="16"/>
      <c r="D1" s="16"/>
      <c r="E1" s="16"/>
      <c r="F1" s="16"/>
      <c r="G1" s="16"/>
    </row>
    <row r="2" customFormat="false" ht="15.75" hidden="false" customHeight="true" outlineLevel="0" collapsed="false">
      <c r="A2" s="17" t="s">
        <v>118</v>
      </c>
      <c r="B2" s="17"/>
      <c r="C2" s="17"/>
      <c r="D2" s="17"/>
      <c r="E2" s="17"/>
      <c r="F2" s="17"/>
      <c r="G2" s="17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119</v>
      </c>
      <c r="B4" s="3" t="s">
        <v>120</v>
      </c>
      <c r="C4" s="3" t="s">
        <v>4</v>
      </c>
      <c r="D4" s="3" t="s">
        <v>121</v>
      </c>
      <c r="E4" s="3" t="s">
        <v>122</v>
      </c>
      <c r="F4" s="3" t="s">
        <v>123</v>
      </c>
      <c r="G4" s="3" t="s">
        <v>7</v>
      </c>
    </row>
    <row r="5" customFormat="false" ht="18" hidden="false" customHeight="true" outlineLevel="0" collapsed="false">
      <c r="A5" s="4" t="s">
        <v>124</v>
      </c>
      <c r="B5" s="4"/>
      <c r="C5" s="4"/>
      <c r="D5" s="4"/>
      <c r="E5" s="4"/>
      <c r="F5" s="4"/>
      <c r="G5" s="4"/>
    </row>
    <row r="6" customFormat="false" ht="21.75" hidden="false" customHeight="true" outlineLevel="0" collapsed="false">
      <c r="A6" s="18" t="s">
        <v>125</v>
      </c>
      <c r="B6" s="18" t="s">
        <v>126</v>
      </c>
      <c r="C6" s="19" t="n">
        <v>38000</v>
      </c>
      <c r="D6" s="18" t="s">
        <v>127</v>
      </c>
      <c r="E6" s="20" t="n">
        <v>2500</v>
      </c>
      <c r="F6" s="20" t="n">
        <f aca="false">C6*E6</f>
        <v>95000000</v>
      </c>
      <c r="G6" s="18" t="s">
        <v>128</v>
      </c>
    </row>
    <row r="7" customFormat="false" ht="21.75" hidden="false" customHeight="true" outlineLevel="0" collapsed="false">
      <c r="A7" s="7" t="s">
        <v>129</v>
      </c>
      <c r="B7" s="7" t="s">
        <v>130</v>
      </c>
      <c r="C7" s="21" t="n">
        <v>1</v>
      </c>
      <c r="D7" s="7" t="s">
        <v>131</v>
      </c>
      <c r="E7" s="8" t="n">
        <v>1200000</v>
      </c>
      <c r="F7" s="8" t="n">
        <f aca="false">C7*E7</f>
        <v>1200000</v>
      </c>
      <c r="G7" s="7" t="s">
        <v>132</v>
      </c>
    </row>
    <row r="8" customFormat="false" ht="21.75" hidden="false" customHeight="true" outlineLevel="0" collapsed="false">
      <c r="A8" s="18" t="s">
        <v>133</v>
      </c>
      <c r="B8" s="18" t="s">
        <v>134</v>
      </c>
      <c r="C8" s="19" t="n">
        <v>1</v>
      </c>
      <c r="D8" s="18" t="s">
        <v>131</v>
      </c>
      <c r="E8" s="20" t="n">
        <v>800000</v>
      </c>
      <c r="F8" s="20" t="n">
        <f aca="false">C8*E8</f>
        <v>800000</v>
      </c>
      <c r="G8" s="18" t="s">
        <v>135</v>
      </c>
    </row>
    <row r="9" customFormat="false" ht="21.75" hidden="false" customHeight="true" outlineLevel="0" collapsed="false">
      <c r="A9" s="7" t="s">
        <v>136</v>
      </c>
      <c r="B9" s="7" t="s">
        <v>137</v>
      </c>
      <c r="C9" s="21" t="n">
        <v>1</v>
      </c>
      <c r="D9" s="7" t="s">
        <v>138</v>
      </c>
      <c r="E9" s="8" t="n">
        <v>150000</v>
      </c>
      <c r="F9" s="8" t="n">
        <f aca="false">C9*E9</f>
        <v>150000</v>
      </c>
      <c r="G9" s="7" t="s">
        <v>139</v>
      </c>
    </row>
    <row r="10" customFormat="false" ht="21.75" hidden="false" customHeight="true" outlineLevel="0" collapsed="false">
      <c r="A10" s="18" t="s">
        <v>140</v>
      </c>
      <c r="B10" s="18" t="s">
        <v>141</v>
      </c>
      <c r="C10" s="19" t="n">
        <v>9500</v>
      </c>
      <c r="D10" s="18" t="s">
        <v>127</v>
      </c>
      <c r="E10" s="20" t="n">
        <v>300</v>
      </c>
      <c r="F10" s="20" t="n">
        <f aca="false">C10*E10</f>
        <v>2850000</v>
      </c>
      <c r="G10" s="18" t="s">
        <v>142</v>
      </c>
    </row>
    <row r="11" customFormat="false" ht="19.5" hidden="false" customHeight="true" outlineLevel="0" collapsed="false">
      <c r="A11" s="22" t="s">
        <v>143</v>
      </c>
      <c r="B11" s="22"/>
      <c r="C11" s="22"/>
      <c r="D11" s="22"/>
      <c r="E11" s="22"/>
      <c r="F11" s="23" t="n">
        <f aca="false">SUM(F6:F10)</f>
        <v>100000000</v>
      </c>
      <c r="G11" s="22"/>
    </row>
    <row r="12" customFormat="false" ht="18" hidden="false" customHeight="true" outlineLevel="0" collapsed="false">
      <c r="A12" s="4" t="s">
        <v>144</v>
      </c>
      <c r="B12" s="4"/>
      <c r="C12" s="4"/>
      <c r="D12" s="4"/>
      <c r="E12" s="4"/>
      <c r="F12" s="4"/>
      <c r="G12" s="4"/>
    </row>
    <row r="13" customFormat="false" ht="21.75" hidden="false" customHeight="true" outlineLevel="0" collapsed="false">
      <c r="A13" s="7" t="s">
        <v>145</v>
      </c>
      <c r="B13" s="7" t="s">
        <v>146</v>
      </c>
      <c r="C13" s="21" t="n">
        <v>8000</v>
      </c>
      <c r="D13" s="7" t="s">
        <v>127</v>
      </c>
      <c r="E13" s="8" t="n">
        <v>500</v>
      </c>
      <c r="F13" s="8" t="n">
        <f aca="false">C13*E13</f>
        <v>4000000</v>
      </c>
      <c r="G13" s="7" t="s">
        <v>147</v>
      </c>
    </row>
    <row r="14" customFormat="false" ht="21.75" hidden="false" customHeight="true" outlineLevel="0" collapsed="false">
      <c r="A14" s="18" t="s">
        <v>148</v>
      </c>
      <c r="B14" s="18" t="s">
        <v>149</v>
      </c>
      <c r="C14" s="19" t="n">
        <v>200</v>
      </c>
      <c r="D14" s="18" t="s">
        <v>150</v>
      </c>
      <c r="E14" s="20" t="n">
        <v>15000</v>
      </c>
      <c r="F14" s="20" t="n">
        <f aca="false">C14*E14</f>
        <v>3000000</v>
      </c>
      <c r="G14" s="18" t="s">
        <v>151</v>
      </c>
    </row>
    <row r="15" customFormat="false" ht="21.75" hidden="false" customHeight="true" outlineLevel="0" collapsed="false">
      <c r="A15" s="7" t="s">
        <v>152</v>
      </c>
      <c r="B15" s="7" t="s">
        <v>153</v>
      </c>
      <c r="C15" s="21" t="n">
        <v>6000</v>
      </c>
      <c r="D15" s="7" t="s">
        <v>127</v>
      </c>
      <c r="E15" s="8" t="n">
        <v>500</v>
      </c>
      <c r="F15" s="8" t="n">
        <f aca="false">C15*E15</f>
        <v>3000000</v>
      </c>
      <c r="G15" s="7" t="s">
        <v>154</v>
      </c>
    </row>
    <row r="16" customFormat="false" ht="21.75" hidden="false" customHeight="true" outlineLevel="0" collapsed="false">
      <c r="A16" s="18" t="s">
        <v>155</v>
      </c>
      <c r="B16" s="18" t="s">
        <v>156</v>
      </c>
      <c r="C16" s="19" t="n">
        <v>174240</v>
      </c>
      <c r="D16" s="18" t="s">
        <v>127</v>
      </c>
      <c r="E16" s="20" t="n">
        <v>150</v>
      </c>
      <c r="F16" s="20" t="n">
        <f aca="false">C16*E16</f>
        <v>26136000</v>
      </c>
      <c r="G16" s="18" t="s">
        <v>157</v>
      </c>
    </row>
    <row r="17" customFormat="false" ht="19.5" hidden="false" customHeight="true" outlineLevel="0" collapsed="false">
      <c r="A17" s="22" t="s">
        <v>158</v>
      </c>
      <c r="B17" s="22"/>
      <c r="C17" s="22"/>
      <c r="D17" s="22"/>
      <c r="E17" s="22"/>
      <c r="F17" s="23" t="n">
        <f aca="false">SUM(F13:F16)</f>
        <v>36136000</v>
      </c>
      <c r="G17" s="22"/>
    </row>
    <row r="18" customFormat="false" ht="18" hidden="false" customHeight="true" outlineLevel="0" collapsed="false">
      <c r="A18" s="4" t="s">
        <v>159</v>
      </c>
      <c r="B18" s="4"/>
      <c r="C18" s="4"/>
      <c r="D18" s="4"/>
      <c r="E18" s="4"/>
      <c r="F18" s="4"/>
      <c r="G18" s="4"/>
    </row>
    <row r="19" customFormat="false" ht="21.75" hidden="false" customHeight="true" outlineLevel="0" collapsed="false">
      <c r="A19" s="7" t="s">
        <v>33</v>
      </c>
      <c r="B19" s="7" t="s">
        <v>160</v>
      </c>
      <c r="C19" s="21" t="n">
        <v>15000</v>
      </c>
      <c r="D19" s="7" t="s">
        <v>161</v>
      </c>
      <c r="E19" s="8" t="n">
        <v>1200</v>
      </c>
      <c r="F19" s="8" t="n">
        <f aca="false">C19*E19</f>
        <v>18000000</v>
      </c>
      <c r="G19" s="7" t="s">
        <v>162</v>
      </c>
    </row>
    <row r="20" customFormat="false" ht="21.75" hidden="false" customHeight="true" outlineLevel="0" collapsed="false">
      <c r="A20" s="18" t="s">
        <v>163</v>
      </c>
      <c r="B20" s="18" t="s">
        <v>164</v>
      </c>
      <c r="C20" s="19" t="n">
        <v>700</v>
      </c>
      <c r="D20" s="18" t="s">
        <v>165</v>
      </c>
      <c r="E20" s="20" t="n">
        <v>400</v>
      </c>
      <c r="F20" s="20" t="n">
        <f aca="false">C20*E20</f>
        <v>280000</v>
      </c>
      <c r="G20" s="18" t="s">
        <v>166</v>
      </c>
    </row>
    <row r="21" customFormat="false" ht="21.75" hidden="false" customHeight="true" outlineLevel="0" collapsed="false">
      <c r="A21" s="7" t="s">
        <v>167</v>
      </c>
      <c r="B21" s="7" t="s">
        <v>168</v>
      </c>
      <c r="C21" s="21" t="n">
        <v>1</v>
      </c>
      <c r="D21" s="7" t="s">
        <v>138</v>
      </c>
      <c r="E21" s="8" t="n">
        <v>500000</v>
      </c>
      <c r="F21" s="8" t="n">
        <f aca="false">C21*E21</f>
        <v>500000</v>
      </c>
      <c r="G21" s="7" t="s">
        <v>169</v>
      </c>
    </row>
    <row r="22" customFormat="false" ht="21.75" hidden="false" customHeight="true" outlineLevel="0" collapsed="false">
      <c r="A22" s="18" t="s">
        <v>170</v>
      </c>
      <c r="B22" s="18" t="s">
        <v>171</v>
      </c>
      <c r="C22" s="19" t="n">
        <v>50</v>
      </c>
      <c r="D22" s="18" t="s">
        <v>172</v>
      </c>
      <c r="E22" s="20" t="n">
        <v>15000</v>
      </c>
      <c r="F22" s="20" t="n">
        <f aca="false">C22*E22</f>
        <v>750000</v>
      </c>
      <c r="G22" s="18" t="s">
        <v>173</v>
      </c>
    </row>
    <row r="23" customFormat="false" ht="19.5" hidden="false" customHeight="true" outlineLevel="0" collapsed="false">
      <c r="A23" s="22" t="s">
        <v>174</v>
      </c>
      <c r="B23" s="22"/>
      <c r="C23" s="22"/>
      <c r="D23" s="22"/>
      <c r="E23" s="22"/>
      <c r="F23" s="23" t="n">
        <f aca="false">SUM(F19:F22)</f>
        <v>19530000</v>
      </c>
      <c r="G23" s="22"/>
    </row>
    <row r="24" customFormat="false" ht="18" hidden="false" customHeight="true" outlineLevel="0" collapsed="false">
      <c r="A24" s="4" t="s">
        <v>175</v>
      </c>
      <c r="B24" s="4"/>
      <c r="C24" s="4"/>
      <c r="D24" s="4"/>
      <c r="E24" s="4"/>
      <c r="F24" s="4"/>
      <c r="G24" s="4"/>
    </row>
    <row r="25" customFormat="false" ht="21.75" hidden="false" customHeight="true" outlineLevel="0" collapsed="false">
      <c r="A25" s="7" t="s">
        <v>176</v>
      </c>
      <c r="B25" s="7" t="s">
        <v>177</v>
      </c>
      <c r="C25" s="21" t="n">
        <v>2</v>
      </c>
      <c r="D25" s="7" t="s">
        <v>172</v>
      </c>
      <c r="E25" s="8" t="n">
        <v>500000</v>
      </c>
      <c r="F25" s="8" t="n">
        <f aca="false">C25*E25</f>
        <v>1000000</v>
      </c>
      <c r="G25" s="7" t="s">
        <v>178</v>
      </c>
    </row>
    <row r="26" customFormat="false" ht="21.75" hidden="false" customHeight="true" outlineLevel="0" collapsed="false">
      <c r="A26" s="18" t="s">
        <v>179</v>
      </c>
      <c r="B26" s="18" t="s">
        <v>180</v>
      </c>
      <c r="C26" s="19" t="n">
        <v>1</v>
      </c>
      <c r="D26" s="18" t="s">
        <v>138</v>
      </c>
      <c r="E26" s="20" t="n">
        <v>800000</v>
      </c>
      <c r="F26" s="20" t="n">
        <f aca="false">C26*E26</f>
        <v>800000</v>
      </c>
      <c r="G26" s="18" t="s">
        <v>181</v>
      </c>
    </row>
    <row r="27" customFormat="false" ht="21.75" hidden="false" customHeight="true" outlineLevel="0" collapsed="false">
      <c r="A27" s="7" t="s">
        <v>182</v>
      </c>
      <c r="B27" s="7" t="s">
        <v>183</v>
      </c>
      <c r="C27" s="21" t="n">
        <v>1</v>
      </c>
      <c r="D27" s="7" t="s">
        <v>138</v>
      </c>
      <c r="E27" s="8" t="n">
        <v>2500000</v>
      </c>
      <c r="F27" s="8" t="n">
        <f aca="false">C27*E27</f>
        <v>2500000</v>
      </c>
      <c r="G27" s="7" t="s">
        <v>184</v>
      </c>
    </row>
    <row r="28" customFormat="false" ht="21.75" hidden="false" customHeight="true" outlineLevel="0" collapsed="false">
      <c r="A28" s="18" t="s">
        <v>185</v>
      </c>
      <c r="B28" s="18" t="s">
        <v>186</v>
      </c>
      <c r="C28" s="19" t="n">
        <v>1</v>
      </c>
      <c r="D28" s="18" t="s">
        <v>138</v>
      </c>
      <c r="E28" s="20" t="n">
        <v>2000000</v>
      </c>
      <c r="F28" s="20" t="n">
        <f aca="false">C28*E28</f>
        <v>2000000</v>
      </c>
      <c r="G28" s="18" t="s">
        <v>187</v>
      </c>
    </row>
    <row r="29" customFormat="false" ht="21.75" hidden="false" customHeight="true" outlineLevel="0" collapsed="false">
      <c r="A29" s="7" t="s">
        <v>188</v>
      </c>
      <c r="B29" s="7" t="s">
        <v>189</v>
      </c>
      <c r="C29" s="21" t="n">
        <v>1</v>
      </c>
      <c r="D29" s="7" t="s">
        <v>131</v>
      </c>
      <c r="E29" s="8" t="n">
        <v>1200000</v>
      </c>
      <c r="F29" s="8" t="n">
        <f aca="false">C29*E29</f>
        <v>1200000</v>
      </c>
      <c r="G29" s="7" t="s">
        <v>190</v>
      </c>
    </row>
    <row r="30" customFormat="false" ht="21.75" hidden="false" customHeight="true" outlineLevel="0" collapsed="false">
      <c r="A30" s="18" t="s">
        <v>191</v>
      </c>
      <c r="B30" s="18" t="s">
        <v>192</v>
      </c>
      <c r="C30" s="19" t="n">
        <v>1</v>
      </c>
      <c r="D30" s="18" t="s">
        <v>138</v>
      </c>
      <c r="E30" s="20" t="n">
        <v>500000</v>
      </c>
      <c r="F30" s="20" t="n">
        <f aca="false">C30*E30</f>
        <v>500000</v>
      </c>
      <c r="G30" s="18" t="s">
        <v>193</v>
      </c>
    </row>
    <row r="31" customFormat="false" ht="21.75" hidden="false" customHeight="true" outlineLevel="0" collapsed="false">
      <c r="A31" s="7" t="s">
        <v>194</v>
      </c>
      <c r="B31" s="7" t="s">
        <v>195</v>
      </c>
      <c r="C31" s="21" t="n">
        <v>1</v>
      </c>
      <c r="D31" s="7" t="s">
        <v>138</v>
      </c>
      <c r="E31" s="8" t="n">
        <v>800000</v>
      </c>
      <c r="F31" s="8" t="n">
        <f aca="false">C31*E31</f>
        <v>800000</v>
      </c>
      <c r="G31" s="7" t="s">
        <v>196</v>
      </c>
    </row>
    <row r="32" customFormat="false" ht="21.75" hidden="false" customHeight="true" outlineLevel="0" collapsed="false">
      <c r="A32" s="18" t="s">
        <v>197</v>
      </c>
      <c r="B32" s="18" t="s">
        <v>198</v>
      </c>
      <c r="C32" s="19" t="n">
        <v>1</v>
      </c>
      <c r="D32" s="18" t="s">
        <v>138</v>
      </c>
      <c r="E32" s="20" t="n">
        <v>300000</v>
      </c>
      <c r="F32" s="20" t="n">
        <f aca="false">C32*E32</f>
        <v>300000</v>
      </c>
      <c r="G32" s="18" t="s">
        <v>199</v>
      </c>
    </row>
    <row r="33" customFormat="false" ht="21.75" hidden="false" customHeight="true" outlineLevel="0" collapsed="false">
      <c r="A33" s="7" t="s">
        <v>200</v>
      </c>
      <c r="B33" s="7" t="s">
        <v>201</v>
      </c>
      <c r="C33" s="21" t="n">
        <v>1</v>
      </c>
      <c r="D33" s="7" t="s">
        <v>138</v>
      </c>
      <c r="E33" s="8" t="n">
        <v>200000</v>
      </c>
      <c r="F33" s="8" t="n">
        <f aca="false">C33*E33</f>
        <v>200000</v>
      </c>
      <c r="G33" s="7" t="s">
        <v>202</v>
      </c>
    </row>
    <row r="34" customFormat="false" ht="21.75" hidden="false" customHeight="true" outlineLevel="0" collapsed="false">
      <c r="A34" s="18" t="s">
        <v>203</v>
      </c>
      <c r="B34" s="18" t="s">
        <v>204</v>
      </c>
      <c r="C34" s="19" t="s">
        <v>205</v>
      </c>
      <c r="D34" s="18" t="s">
        <v>138</v>
      </c>
      <c r="E34" s="20" t="n">
        <v>500000</v>
      </c>
      <c r="F34" s="20" t="n">
        <f aca="false">C34*E34</f>
        <v>500000</v>
      </c>
      <c r="G34" s="18" t="s">
        <v>206</v>
      </c>
    </row>
    <row r="35" customFormat="false" ht="19.5" hidden="false" customHeight="true" outlineLevel="0" collapsed="false">
      <c r="A35" s="22" t="s">
        <v>207</v>
      </c>
      <c r="B35" s="22"/>
      <c r="C35" s="22"/>
      <c r="D35" s="22"/>
      <c r="E35" s="22"/>
      <c r="F35" s="23" t="n">
        <f aca="false">SUM(F25:F34)</f>
        <v>9800000</v>
      </c>
      <c r="G35" s="22"/>
    </row>
    <row r="36" customFormat="false" ht="18" hidden="false" customHeight="true" outlineLevel="0" collapsed="false">
      <c r="A36" s="4" t="s">
        <v>208</v>
      </c>
      <c r="B36" s="4"/>
      <c r="C36" s="4"/>
      <c r="D36" s="4"/>
      <c r="E36" s="4"/>
      <c r="F36" s="4"/>
      <c r="G36" s="4"/>
    </row>
    <row r="37" customFormat="false" ht="21.75" hidden="false" customHeight="true" outlineLevel="0" collapsed="false">
      <c r="A37" s="7" t="s">
        <v>209</v>
      </c>
      <c r="B37" s="7" t="s">
        <v>210</v>
      </c>
      <c r="C37" s="21" t="n">
        <v>5200</v>
      </c>
      <c r="D37" s="7" t="s">
        <v>127</v>
      </c>
      <c r="E37" s="8" t="n">
        <v>2500</v>
      </c>
      <c r="F37" s="8" t="n">
        <f aca="false">C37*E37</f>
        <v>13000000</v>
      </c>
      <c r="G37" s="7" t="s">
        <v>211</v>
      </c>
    </row>
    <row r="38" customFormat="false" ht="21.75" hidden="false" customHeight="true" outlineLevel="0" collapsed="false">
      <c r="A38" s="18" t="s">
        <v>212</v>
      </c>
      <c r="B38" s="18" t="s">
        <v>213</v>
      </c>
      <c r="C38" s="19" t="n">
        <v>10</v>
      </c>
      <c r="D38" s="18" t="s">
        <v>214</v>
      </c>
      <c r="E38" s="20" t="n">
        <v>50000</v>
      </c>
      <c r="F38" s="20" t="n">
        <f aca="false">C38*E38</f>
        <v>500000</v>
      </c>
      <c r="G38" s="18" t="s">
        <v>215</v>
      </c>
    </row>
    <row r="39" customFormat="false" ht="19.5" hidden="false" customHeight="true" outlineLevel="0" collapsed="false">
      <c r="A39" s="22" t="s">
        <v>216</v>
      </c>
      <c r="B39" s="22"/>
      <c r="C39" s="22"/>
      <c r="D39" s="22"/>
      <c r="E39" s="22"/>
      <c r="F39" s="23" t="n">
        <f aca="false">SUM(F37:F38)</f>
        <v>13500000</v>
      </c>
      <c r="G39" s="22"/>
    </row>
    <row r="40" customFormat="false" ht="24" hidden="false" customHeight="true" outlineLevel="0" collapsed="false">
      <c r="A40" s="11" t="s">
        <v>217</v>
      </c>
      <c r="B40" s="11"/>
      <c r="C40" s="11"/>
      <c r="D40" s="11"/>
      <c r="E40" s="11"/>
      <c r="F40" s="12" t="n">
        <f aca="false">SUM(F11+F17+F23+F35+F39)</f>
        <v>178966000</v>
      </c>
      <c r="G40" s="11" t="s">
        <v>218</v>
      </c>
    </row>
    <row r="41" customFormat="false" ht="19.5" hidden="false" customHeight="true" outlineLevel="0" collapsed="false">
      <c r="A41" s="24" t="s">
        <v>110</v>
      </c>
      <c r="B41" s="24" t="s">
        <v>219</v>
      </c>
      <c r="C41" s="24"/>
      <c r="D41" s="24"/>
      <c r="E41" s="24"/>
      <c r="F41" s="25" t="n">
        <f aca="false">F40*0.1</f>
        <v>17896600</v>
      </c>
      <c r="G41" s="24"/>
    </row>
    <row r="42" customFormat="false" ht="25.5" hidden="false" customHeight="true" outlineLevel="0" collapsed="false">
      <c r="A42" s="26" t="s">
        <v>220</v>
      </c>
      <c r="B42" s="26"/>
      <c r="C42" s="26"/>
      <c r="D42" s="26"/>
      <c r="E42" s="26"/>
      <c r="F42" s="27" t="n">
        <f aca="false">F40+F41</f>
        <v>196862600</v>
      </c>
      <c r="G42" s="26"/>
    </row>
  </sheetData>
  <mergeCells count="7">
    <mergeCell ref="A1:G1"/>
    <mergeCell ref="A2:G2"/>
    <mergeCell ref="A5:G5"/>
    <mergeCell ref="A12:G12"/>
    <mergeCell ref="A18:G18"/>
    <mergeCell ref="A24:G24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4" min="3" style="0" width="8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28" t="s">
        <v>221</v>
      </c>
      <c r="B1" s="28"/>
      <c r="C1" s="28"/>
      <c r="D1" s="28"/>
      <c r="E1" s="28"/>
      <c r="F1" s="28"/>
      <c r="G1" s="28"/>
      <c r="H1" s="28"/>
    </row>
    <row r="2" customFormat="false" ht="15.75" hidden="false" customHeight="true" outlineLevel="0" collapsed="false">
      <c r="A2" s="17" t="s">
        <v>222</v>
      </c>
      <c r="B2" s="17"/>
      <c r="C2" s="17"/>
      <c r="D2" s="17"/>
      <c r="E2" s="17"/>
      <c r="F2" s="17"/>
      <c r="G2" s="17"/>
      <c r="H2" s="17"/>
    </row>
    <row r="3" customFormat="false" ht="6" hidden="false" customHeight="true" outlineLevel="0" collapsed="false"/>
    <row r="4" customFormat="false" ht="15" hidden="false" customHeight="false" outlineLevel="0" collapsed="false">
      <c r="A4" s="29" t="s">
        <v>223</v>
      </c>
      <c r="B4" s="29" t="s">
        <v>224</v>
      </c>
      <c r="C4" s="29" t="s">
        <v>225</v>
      </c>
      <c r="D4" s="29" t="s">
        <v>121</v>
      </c>
      <c r="E4" s="29" t="s">
        <v>226</v>
      </c>
      <c r="F4" s="29" t="s">
        <v>227</v>
      </c>
      <c r="G4" s="29" t="s">
        <v>228</v>
      </c>
      <c r="H4" s="29" t="s">
        <v>229</v>
      </c>
    </row>
    <row r="5" customFormat="false" ht="18" hidden="false" customHeight="true" outlineLevel="0" collapsed="false">
      <c r="A5" s="4" t="s">
        <v>230</v>
      </c>
      <c r="B5" s="4"/>
      <c r="C5" s="4"/>
      <c r="D5" s="4"/>
      <c r="E5" s="4"/>
      <c r="F5" s="4"/>
      <c r="G5" s="4"/>
      <c r="H5" s="4"/>
    </row>
    <row r="6" customFormat="false" ht="21.75" hidden="false" customHeight="true" outlineLevel="0" collapsed="false">
      <c r="A6" s="30" t="s">
        <v>231</v>
      </c>
      <c r="B6" s="30" t="s">
        <v>232</v>
      </c>
      <c r="C6" s="31" t="n">
        <v>600</v>
      </c>
      <c r="D6" s="30" t="s">
        <v>172</v>
      </c>
      <c r="E6" s="32" t="n">
        <v>4000</v>
      </c>
      <c r="F6" s="32" t="n">
        <v>5000</v>
      </c>
      <c r="G6" s="32" t="n">
        <f aca="false">(E6+F6)/2</f>
        <v>4500</v>
      </c>
      <c r="H6" s="32" t="n">
        <f aca="false">G6*C6</f>
        <v>2700000</v>
      </c>
    </row>
    <row r="7" customFormat="false" ht="21.75" hidden="false" customHeight="true" outlineLevel="0" collapsed="false">
      <c r="A7" s="7" t="s">
        <v>233</v>
      </c>
      <c r="B7" s="7" t="s">
        <v>234</v>
      </c>
      <c r="C7" s="21" t="n">
        <v>30</v>
      </c>
      <c r="D7" s="7" t="s">
        <v>235</v>
      </c>
      <c r="E7" s="8" t="n">
        <v>6000</v>
      </c>
      <c r="F7" s="8" t="n">
        <v>10000</v>
      </c>
      <c r="G7" s="8" t="n">
        <f aca="false">(E7+F7)/2</f>
        <v>8000</v>
      </c>
      <c r="H7" s="8" t="n">
        <f aca="false">G7*C7</f>
        <v>240000</v>
      </c>
    </row>
    <row r="8" customFormat="false" ht="21.75" hidden="false" customHeight="true" outlineLevel="0" collapsed="false">
      <c r="A8" s="30" t="s">
        <v>236</v>
      </c>
      <c r="B8" s="30" t="s">
        <v>237</v>
      </c>
      <c r="C8" s="31" t="n">
        <v>30</v>
      </c>
      <c r="D8" s="30" t="s">
        <v>172</v>
      </c>
      <c r="E8" s="32" t="n">
        <v>75000</v>
      </c>
      <c r="F8" s="32" t="n">
        <v>150000</v>
      </c>
      <c r="G8" s="32" t="n">
        <f aca="false">(E8+F8)/2</f>
        <v>112500</v>
      </c>
      <c r="H8" s="32" t="n">
        <f aca="false">G8*C8</f>
        <v>3375000</v>
      </c>
    </row>
    <row r="9" customFormat="false" ht="21.75" hidden="false" customHeight="true" outlineLevel="0" collapsed="false">
      <c r="A9" s="7" t="s">
        <v>238</v>
      </c>
      <c r="B9" s="7" t="s">
        <v>239</v>
      </c>
      <c r="C9" s="21" t="n">
        <v>30</v>
      </c>
      <c r="D9" s="7" t="s">
        <v>172</v>
      </c>
      <c r="E9" s="8" t="n">
        <v>2000</v>
      </c>
      <c r="F9" s="8" t="n">
        <v>3500</v>
      </c>
      <c r="G9" s="8" t="n">
        <f aca="false">(E9+F9)/2</f>
        <v>2750</v>
      </c>
      <c r="H9" s="8" t="n">
        <f aca="false">G9*C9</f>
        <v>82500</v>
      </c>
    </row>
    <row r="10" customFormat="false" ht="21.75" hidden="false" customHeight="true" outlineLevel="0" collapsed="false">
      <c r="A10" s="30" t="s">
        <v>240</v>
      </c>
      <c r="B10" s="30" t="s">
        <v>241</v>
      </c>
      <c r="C10" s="31" t="n">
        <v>30</v>
      </c>
      <c r="D10" s="30" t="s">
        <v>235</v>
      </c>
      <c r="E10" s="32" t="n">
        <v>6000</v>
      </c>
      <c r="F10" s="32" t="n">
        <v>12000</v>
      </c>
      <c r="G10" s="32" t="n">
        <f aca="false">(E10+F10)/2</f>
        <v>9000</v>
      </c>
      <c r="H10" s="32" t="n">
        <f aca="false">G10*C10</f>
        <v>270000</v>
      </c>
    </row>
    <row r="11" customFormat="false" ht="21.75" hidden="false" customHeight="true" outlineLevel="0" collapsed="false">
      <c r="A11" s="7" t="s">
        <v>242</v>
      </c>
      <c r="B11" s="7" t="s">
        <v>243</v>
      </c>
      <c r="C11" s="21" t="n">
        <v>30</v>
      </c>
      <c r="D11" s="7" t="s">
        <v>172</v>
      </c>
      <c r="E11" s="8" t="n">
        <v>3500</v>
      </c>
      <c r="F11" s="8" t="n">
        <v>8000</v>
      </c>
      <c r="G11" s="8" t="n">
        <f aca="false">(E11+F11)/2</f>
        <v>5750</v>
      </c>
      <c r="H11" s="8" t="n">
        <f aca="false">G11*C11</f>
        <v>172500</v>
      </c>
    </row>
    <row r="12" customFormat="false" ht="21.75" hidden="false" customHeight="true" outlineLevel="0" collapsed="false">
      <c r="A12" s="30" t="s">
        <v>244</v>
      </c>
      <c r="B12" s="30" t="s">
        <v>245</v>
      </c>
      <c r="C12" s="31" t="n">
        <v>30</v>
      </c>
      <c r="D12" s="30" t="s">
        <v>172</v>
      </c>
      <c r="E12" s="32" t="n">
        <v>2500</v>
      </c>
      <c r="F12" s="32" t="n">
        <v>4000</v>
      </c>
      <c r="G12" s="32" t="n">
        <f aca="false">(E12+F12)/2</f>
        <v>3250</v>
      </c>
      <c r="H12" s="32" t="n">
        <f aca="false">G12*C12</f>
        <v>97500</v>
      </c>
    </row>
    <row r="13" customFormat="false" ht="21.75" hidden="false" customHeight="true" outlineLevel="0" collapsed="false">
      <c r="A13" s="7" t="s">
        <v>246</v>
      </c>
      <c r="B13" s="7" t="s">
        <v>247</v>
      </c>
      <c r="C13" s="21" t="n">
        <v>30</v>
      </c>
      <c r="D13" s="7" t="s">
        <v>172</v>
      </c>
      <c r="E13" s="8" t="n">
        <v>0</v>
      </c>
      <c r="F13" s="8" t="n">
        <v>0</v>
      </c>
      <c r="G13" s="8" t="n">
        <f aca="false">0</f>
        <v>0</v>
      </c>
      <c r="H13" s="8" t="n">
        <f aca="false">0</f>
        <v>0</v>
      </c>
    </row>
    <row r="14" customFormat="false" ht="19.5" hidden="false" customHeight="true" outlineLevel="0" collapsed="false">
      <c r="A14" s="33" t="s">
        <v>248</v>
      </c>
      <c r="B14" s="33"/>
      <c r="C14" s="33"/>
      <c r="D14" s="33"/>
      <c r="E14" s="33"/>
      <c r="F14" s="33"/>
      <c r="G14" s="33"/>
      <c r="H14" s="34" t="n">
        <f aca="false">SUM(H6:H13)</f>
        <v>6937500</v>
      </c>
    </row>
    <row r="15" customFormat="false" ht="6" hidden="false" customHeight="true" outlineLevel="0" collapsed="false"/>
    <row r="16" customFormat="false" ht="18" hidden="false" customHeight="true" outlineLevel="0" collapsed="false">
      <c r="A16" s="4" t="s">
        <v>249</v>
      </c>
      <c r="B16" s="4"/>
      <c r="C16" s="4"/>
      <c r="D16" s="4"/>
      <c r="E16" s="4"/>
      <c r="F16" s="4"/>
      <c r="G16" s="4"/>
      <c r="H16" s="4"/>
    </row>
    <row r="17" customFormat="false" ht="21.75" hidden="false" customHeight="true" outlineLevel="0" collapsed="false">
      <c r="A17" s="7" t="s">
        <v>250</v>
      </c>
      <c r="B17" s="7" t="s">
        <v>251</v>
      </c>
      <c r="C17" s="21" t="n">
        <v>1</v>
      </c>
      <c r="D17" s="7" t="s">
        <v>252</v>
      </c>
      <c r="E17" s="8" t="n">
        <v>200000</v>
      </c>
      <c r="F17" s="8" t="n">
        <v>350000</v>
      </c>
      <c r="G17" s="8" t="n">
        <f aca="false">(E17+F17)/2</f>
        <v>275000</v>
      </c>
      <c r="H17" s="8" t="n">
        <f aca="false">G17*C17</f>
        <v>275000</v>
      </c>
    </row>
    <row r="18" customFormat="false" ht="21.75" hidden="false" customHeight="true" outlineLevel="0" collapsed="false">
      <c r="A18" s="30" t="s">
        <v>253</v>
      </c>
      <c r="B18" s="30" t="s">
        <v>254</v>
      </c>
      <c r="C18" s="31" t="n">
        <v>1</v>
      </c>
      <c r="D18" s="30" t="s">
        <v>252</v>
      </c>
      <c r="E18" s="32" t="n">
        <v>120000</v>
      </c>
      <c r="F18" s="32" t="n">
        <v>180000</v>
      </c>
      <c r="G18" s="32" t="n">
        <f aca="false">(E18+F18)/2</f>
        <v>150000</v>
      </c>
      <c r="H18" s="32" t="n">
        <f aca="false">G18*C18</f>
        <v>150000</v>
      </c>
    </row>
    <row r="19" customFormat="false" ht="21.75" hidden="false" customHeight="true" outlineLevel="0" collapsed="false">
      <c r="A19" s="7" t="s">
        <v>255</v>
      </c>
      <c r="B19" s="7" t="s">
        <v>256</v>
      </c>
      <c r="C19" s="21" t="n">
        <v>1</v>
      </c>
      <c r="D19" s="7" t="s">
        <v>252</v>
      </c>
      <c r="E19" s="8" t="n">
        <v>300000</v>
      </c>
      <c r="F19" s="8" t="n">
        <v>450000</v>
      </c>
      <c r="G19" s="8" t="n">
        <f aca="false">(E19+F19)/2</f>
        <v>375000</v>
      </c>
      <c r="H19" s="8" t="n">
        <f aca="false">G19*C19</f>
        <v>375000</v>
      </c>
    </row>
    <row r="20" customFormat="false" ht="21.75" hidden="false" customHeight="true" outlineLevel="0" collapsed="false">
      <c r="A20" s="30" t="s">
        <v>257</v>
      </c>
      <c r="B20" s="30" t="s">
        <v>258</v>
      </c>
      <c r="C20" s="31" t="n">
        <v>2</v>
      </c>
      <c r="D20" s="30" t="s">
        <v>172</v>
      </c>
      <c r="E20" s="32" t="n">
        <v>50000</v>
      </c>
      <c r="F20" s="32" t="n">
        <v>80000</v>
      </c>
      <c r="G20" s="32" t="n">
        <f aca="false">(E20+F20)/2</f>
        <v>65000</v>
      </c>
      <c r="H20" s="32" t="n">
        <f aca="false">G20*C20</f>
        <v>130000</v>
      </c>
    </row>
    <row r="21" customFormat="false" ht="21.75" hidden="false" customHeight="true" outlineLevel="0" collapsed="false">
      <c r="A21" s="7" t="s">
        <v>259</v>
      </c>
      <c r="B21" s="7" t="s">
        <v>260</v>
      </c>
      <c r="C21" s="21" t="n">
        <v>1</v>
      </c>
      <c r="D21" s="7" t="s">
        <v>252</v>
      </c>
      <c r="E21" s="8" t="n">
        <v>200000</v>
      </c>
      <c r="F21" s="8" t="n">
        <v>300000</v>
      </c>
      <c r="G21" s="8" t="n">
        <f aca="false">(E21+F21)/2</f>
        <v>250000</v>
      </c>
      <c r="H21" s="8" t="n">
        <f aca="false">G21*C21</f>
        <v>250000</v>
      </c>
    </row>
    <row r="22" customFormat="false" ht="21.75" hidden="false" customHeight="true" outlineLevel="0" collapsed="false">
      <c r="A22" s="30" t="s">
        <v>261</v>
      </c>
      <c r="B22" s="30" t="s">
        <v>262</v>
      </c>
      <c r="C22" s="31" t="n">
        <v>1</v>
      </c>
      <c r="D22" s="30" t="s">
        <v>252</v>
      </c>
      <c r="E22" s="32" t="n">
        <v>25000</v>
      </c>
      <c r="F22" s="32" t="n">
        <v>45000</v>
      </c>
      <c r="G22" s="32" t="n">
        <f aca="false">(E22+F22)/2</f>
        <v>35000</v>
      </c>
      <c r="H22" s="32" t="n">
        <f aca="false">G22*C22</f>
        <v>35000</v>
      </c>
    </row>
    <row r="23" customFormat="false" ht="21.75" hidden="false" customHeight="true" outlineLevel="0" collapsed="false">
      <c r="A23" s="7" t="s">
        <v>263</v>
      </c>
      <c r="B23" s="7" t="s">
        <v>264</v>
      </c>
      <c r="C23" s="21" t="n">
        <v>1</v>
      </c>
      <c r="D23" s="7" t="s">
        <v>252</v>
      </c>
      <c r="E23" s="8" t="n">
        <v>250000</v>
      </c>
      <c r="F23" s="8" t="n">
        <v>400000</v>
      </c>
      <c r="G23" s="8" t="n">
        <f aca="false">(E23+F23)/2</f>
        <v>325000</v>
      </c>
      <c r="H23" s="8" t="n">
        <f aca="false">G23*C23</f>
        <v>325000</v>
      </c>
    </row>
    <row r="24" customFormat="false" ht="21.75" hidden="false" customHeight="true" outlineLevel="0" collapsed="false">
      <c r="A24" s="30" t="s">
        <v>265</v>
      </c>
      <c r="B24" s="30" t="s">
        <v>266</v>
      </c>
      <c r="C24" s="31" t="n">
        <v>1</v>
      </c>
      <c r="D24" s="30" t="s">
        <v>252</v>
      </c>
      <c r="E24" s="32" t="n">
        <v>120000</v>
      </c>
      <c r="F24" s="32" t="n">
        <v>180000</v>
      </c>
      <c r="G24" s="32" t="n">
        <f aca="false">(E24+F24)/2</f>
        <v>150000</v>
      </c>
      <c r="H24" s="32" t="n">
        <f aca="false">G24*C24</f>
        <v>150000</v>
      </c>
    </row>
    <row r="25" customFormat="false" ht="21.75" hidden="false" customHeight="true" outlineLevel="0" collapsed="false">
      <c r="A25" s="7" t="s">
        <v>267</v>
      </c>
      <c r="B25" s="7" t="s">
        <v>268</v>
      </c>
      <c r="C25" s="21" t="n">
        <v>1</v>
      </c>
      <c r="D25" s="7" t="s">
        <v>252</v>
      </c>
      <c r="E25" s="8" t="n">
        <v>100000</v>
      </c>
      <c r="F25" s="8" t="n">
        <v>200000</v>
      </c>
      <c r="G25" s="8" t="n">
        <f aca="false">(E25+F25)/2</f>
        <v>150000</v>
      </c>
      <c r="H25" s="8" t="n">
        <f aca="false">G25*C25</f>
        <v>150000</v>
      </c>
    </row>
    <row r="26" customFormat="false" ht="21.75" hidden="false" customHeight="true" outlineLevel="0" collapsed="false">
      <c r="A26" s="30" t="s">
        <v>269</v>
      </c>
      <c r="B26" s="30" t="s">
        <v>270</v>
      </c>
      <c r="C26" s="31" t="n">
        <v>4</v>
      </c>
      <c r="D26" s="30" t="s">
        <v>271</v>
      </c>
      <c r="E26" s="32" t="n">
        <v>10000</v>
      </c>
      <c r="F26" s="32" t="n">
        <v>20000</v>
      </c>
      <c r="G26" s="32" t="n">
        <f aca="false">(E26+F26)/2</f>
        <v>15000</v>
      </c>
      <c r="H26" s="32" t="n">
        <f aca="false">G26*C26</f>
        <v>60000</v>
      </c>
    </row>
    <row r="27" customFormat="false" ht="19.5" hidden="false" customHeight="true" outlineLevel="0" collapsed="false">
      <c r="A27" s="33" t="s">
        <v>272</v>
      </c>
      <c r="B27" s="33"/>
      <c r="C27" s="33"/>
      <c r="D27" s="33"/>
      <c r="E27" s="33"/>
      <c r="F27" s="33"/>
      <c r="G27" s="33"/>
      <c r="H27" s="34" t="n">
        <f aca="false">SUM(H17:H26)</f>
        <v>1900000</v>
      </c>
    </row>
    <row r="28" customFormat="false" ht="6" hidden="false" customHeight="true" outlineLevel="0" collapsed="false"/>
    <row r="29" customFormat="false" ht="18" hidden="false" customHeight="true" outlineLevel="0" collapsed="false">
      <c r="A29" s="4" t="s">
        <v>273</v>
      </c>
      <c r="B29" s="4"/>
      <c r="C29" s="4"/>
      <c r="D29" s="4"/>
      <c r="E29" s="4"/>
      <c r="F29" s="4"/>
      <c r="G29" s="4"/>
      <c r="H29" s="4"/>
    </row>
    <row r="30" customFormat="false" ht="21.75" hidden="false" customHeight="true" outlineLevel="0" collapsed="false">
      <c r="A30" s="30" t="s">
        <v>274</v>
      </c>
      <c r="B30" s="30" t="s">
        <v>275</v>
      </c>
      <c r="C30" s="31" t="n">
        <v>40</v>
      </c>
      <c r="D30" s="30" t="s">
        <v>172</v>
      </c>
      <c r="E30" s="32" t="n">
        <v>45000</v>
      </c>
      <c r="F30" s="32" t="n">
        <v>65000</v>
      </c>
      <c r="G30" s="32" t="n">
        <f aca="false">(E30+F30)/2</f>
        <v>55000</v>
      </c>
      <c r="H30" s="32" t="n">
        <f aca="false">G30*C30</f>
        <v>2200000</v>
      </c>
    </row>
    <row r="31" customFormat="false" ht="21.75" hidden="false" customHeight="true" outlineLevel="0" collapsed="false">
      <c r="A31" s="7" t="s">
        <v>276</v>
      </c>
      <c r="B31" s="7" t="s">
        <v>277</v>
      </c>
      <c r="C31" s="21" t="n">
        <v>40</v>
      </c>
      <c r="D31" s="7" t="s">
        <v>235</v>
      </c>
      <c r="E31" s="8" t="n">
        <v>6000</v>
      </c>
      <c r="F31" s="8" t="n">
        <v>10000</v>
      </c>
      <c r="G31" s="8" t="n">
        <f aca="false">(E31+F31)/2</f>
        <v>8000</v>
      </c>
      <c r="H31" s="8" t="n">
        <f aca="false">G31*C31</f>
        <v>320000</v>
      </c>
    </row>
    <row r="32" customFormat="false" ht="21.75" hidden="false" customHeight="true" outlineLevel="0" collapsed="false">
      <c r="A32" s="30" t="s">
        <v>278</v>
      </c>
      <c r="B32" s="30" t="s">
        <v>279</v>
      </c>
      <c r="C32" s="31" t="n">
        <v>2</v>
      </c>
      <c r="D32" s="30" t="s">
        <v>172</v>
      </c>
      <c r="E32" s="32" t="n">
        <v>8000</v>
      </c>
      <c r="F32" s="32" t="n">
        <v>15000</v>
      </c>
      <c r="G32" s="32" t="n">
        <f aca="false">(E32+F32)/2</f>
        <v>11500</v>
      </c>
      <c r="H32" s="32" t="n">
        <f aca="false">G32*C32</f>
        <v>23000</v>
      </c>
    </row>
    <row r="33" customFormat="false" ht="21.75" hidden="false" customHeight="true" outlineLevel="0" collapsed="false">
      <c r="A33" s="7" t="s">
        <v>280</v>
      </c>
      <c r="B33" s="7" t="s">
        <v>281</v>
      </c>
      <c r="C33" s="21" t="n">
        <v>2</v>
      </c>
      <c r="D33" s="7" t="s">
        <v>172</v>
      </c>
      <c r="E33" s="8" t="n">
        <v>20000</v>
      </c>
      <c r="F33" s="8" t="n">
        <v>30000</v>
      </c>
      <c r="G33" s="8" t="n">
        <f aca="false">(E33+F33)/2</f>
        <v>25000</v>
      </c>
      <c r="H33" s="8" t="n">
        <f aca="false">G33*C33</f>
        <v>50000</v>
      </c>
    </row>
    <row r="34" customFormat="false" ht="21.75" hidden="false" customHeight="true" outlineLevel="0" collapsed="false">
      <c r="A34" s="30" t="s">
        <v>282</v>
      </c>
      <c r="B34" s="30" t="s">
        <v>283</v>
      </c>
      <c r="C34" s="31" t="n">
        <v>10</v>
      </c>
      <c r="D34" s="30" t="s">
        <v>172</v>
      </c>
      <c r="E34" s="32" t="n">
        <v>75000</v>
      </c>
      <c r="F34" s="32" t="n">
        <v>100000</v>
      </c>
      <c r="G34" s="32" t="n">
        <f aca="false">(E34+F34)/2</f>
        <v>87500</v>
      </c>
      <c r="H34" s="32" t="n">
        <f aca="false">G34*C34</f>
        <v>875000</v>
      </c>
    </row>
    <row r="35" customFormat="false" ht="21.75" hidden="false" customHeight="true" outlineLevel="0" collapsed="false">
      <c r="A35" s="7" t="s">
        <v>284</v>
      </c>
      <c r="B35" s="7" t="s">
        <v>285</v>
      </c>
      <c r="C35" s="21" t="n">
        <v>20</v>
      </c>
      <c r="D35" s="7" t="s">
        <v>286</v>
      </c>
      <c r="E35" s="8" t="n">
        <v>5000</v>
      </c>
      <c r="F35" s="8" t="n">
        <v>12000</v>
      </c>
      <c r="G35" s="8" t="n">
        <f aca="false">(E35+F35)/2</f>
        <v>8500</v>
      </c>
      <c r="H35" s="8" t="n">
        <f aca="false">G35*C35</f>
        <v>170000</v>
      </c>
    </row>
    <row r="36" customFormat="false" ht="21.75" hidden="false" customHeight="true" outlineLevel="0" collapsed="false">
      <c r="A36" s="30" t="s">
        <v>287</v>
      </c>
      <c r="B36" s="30" t="s">
        <v>288</v>
      </c>
      <c r="C36" s="31" t="n">
        <v>1</v>
      </c>
      <c r="D36" s="30" t="s">
        <v>131</v>
      </c>
      <c r="E36" s="32" t="n">
        <v>40000</v>
      </c>
      <c r="F36" s="32" t="n">
        <v>80000</v>
      </c>
      <c r="G36" s="32" t="n">
        <f aca="false">(E36+F36)/2</f>
        <v>60000</v>
      </c>
      <c r="H36" s="32" t="n">
        <f aca="false">G36*C36</f>
        <v>60000</v>
      </c>
    </row>
    <row r="37" customFormat="false" ht="21.75" hidden="false" customHeight="true" outlineLevel="0" collapsed="false">
      <c r="A37" s="7" t="s">
        <v>289</v>
      </c>
      <c r="B37" s="7" t="s">
        <v>290</v>
      </c>
      <c r="C37" s="21" t="n">
        <v>1</v>
      </c>
      <c r="D37" s="7" t="s">
        <v>131</v>
      </c>
      <c r="E37" s="8" t="n">
        <v>150000</v>
      </c>
      <c r="F37" s="8" t="n">
        <v>250000</v>
      </c>
      <c r="G37" s="8" t="n">
        <f aca="false">(E37+F37)/2</f>
        <v>200000</v>
      </c>
      <c r="H37" s="8" t="n">
        <f aca="false">G37*C37</f>
        <v>200000</v>
      </c>
    </row>
    <row r="38" customFormat="false" ht="19.5" hidden="false" customHeight="true" outlineLevel="0" collapsed="false">
      <c r="A38" s="33" t="s">
        <v>291</v>
      </c>
      <c r="B38" s="33"/>
      <c r="C38" s="33"/>
      <c r="D38" s="33"/>
      <c r="E38" s="33"/>
      <c r="F38" s="33"/>
      <c r="G38" s="33"/>
      <c r="H38" s="34" t="n">
        <f aca="false">SUM(H30:H37)</f>
        <v>3898000</v>
      </c>
    </row>
    <row r="39" customFormat="false" ht="6" hidden="false" customHeight="true" outlineLevel="0" collapsed="false"/>
    <row r="40" customFormat="false" ht="18" hidden="false" customHeight="true" outlineLevel="0" collapsed="false">
      <c r="A40" s="4" t="s">
        <v>292</v>
      </c>
      <c r="B40" s="4"/>
      <c r="C40" s="4"/>
      <c r="D40" s="4"/>
      <c r="E40" s="4"/>
      <c r="F40" s="4"/>
      <c r="G40" s="4"/>
      <c r="H40" s="4"/>
    </row>
    <row r="41" customFormat="false" ht="21.75" hidden="false" customHeight="true" outlineLevel="0" collapsed="false">
      <c r="A41" s="7" t="s">
        <v>293</v>
      </c>
      <c r="B41" s="7" t="s">
        <v>294</v>
      </c>
      <c r="C41" s="21" t="n">
        <v>2</v>
      </c>
      <c r="D41" s="7" t="s">
        <v>172</v>
      </c>
      <c r="E41" s="8" t="n">
        <v>12000</v>
      </c>
      <c r="F41" s="8" t="n">
        <v>25000</v>
      </c>
      <c r="G41" s="8" t="n">
        <f aca="false">(E41+F41)/2</f>
        <v>18500</v>
      </c>
      <c r="H41" s="8" t="n">
        <f aca="false">G41*C41</f>
        <v>37000</v>
      </c>
    </row>
    <row r="42" customFormat="false" ht="21.75" hidden="false" customHeight="true" outlineLevel="0" collapsed="false">
      <c r="A42" s="30" t="s">
        <v>295</v>
      </c>
      <c r="B42" s="30" t="s">
        <v>296</v>
      </c>
      <c r="C42" s="31" t="n">
        <v>2</v>
      </c>
      <c r="D42" s="30" t="s">
        <v>235</v>
      </c>
      <c r="E42" s="32" t="n">
        <v>5000</v>
      </c>
      <c r="F42" s="32" t="n">
        <v>12000</v>
      </c>
      <c r="G42" s="32" t="n">
        <f aca="false">(E42+F42)/2</f>
        <v>8500</v>
      </c>
      <c r="H42" s="32" t="n">
        <f aca="false">G42*C42</f>
        <v>17000</v>
      </c>
    </row>
    <row r="43" customFormat="false" ht="21.75" hidden="false" customHeight="true" outlineLevel="0" collapsed="false">
      <c r="A43" s="7" t="s">
        <v>297</v>
      </c>
      <c r="B43" s="7" t="s">
        <v>298</v>
      </c>
      <c r="C43" s="21" t="n">
        <v>2</v>
      </c>
      <c r="D43" s="7" t="s">
        <v>172</v>
      </c>
      <c r="E43" s="8" t="n">
        <v>8000</v>
      </c>
      <c r="F43" s="8" t="n">
        <v>18000</v>
      </c>
      <c r="G43" s="8" t="n">
        <f aca="false">(E43+F43)/2</f>
        <v>13000</v>
      </c>
      <c r="H43" s="8" t="n">
        <f aca="false">G43*C43</f>
        <v>26000</v>
      </c>
    </row>
    <row r="44" customFormat="false" ht="21.75" hidden="false" customHeight="true" outlineLevel="0" collapsed="false">
      <c r="A44" s="30" t="s">
        <v>299</v>
      </c>
      <c r="B44" s="30" t="s">
        <v>300</v>
      </c>
      <c r="C44" s="31" t="n">
        <v>4</v>
      </c>
      <c r="D44" s="30" t="s">
        <v>172</v>
      </c>
      <c r="E44" s="32" t="n">
        <v>5000</v>
      </c>
      <c r="F44" s="32" t="n">
        <v>12000</v>
      </c>
      <c r="G44" s="32" t="n">
        <f aca="false">(E44+F44)/2</f>
        <v>8500</v>
      </c>
      <c r="H44" s="32" t="n">
        <f aca="false">G44*C44</f>
        <v>34000</v>
      </c>
    </row>
    <row r="45" customFormat="false" ht="21.75" hidden="false" customHeight="true" outlineLevel="0" collapsed="false">
      <c r="A45" s="7" t="s">
        <v>301</v>
      </c>
      <c r="B45" s="7" t="s">
        <v>302</v>
      </c>
      <c r="C45" s="21" t="n">
        <v>20</v>
      </c>
      <c r="D45" s="7" t="s">
        <v>172</v>
      </c>
      <c r="E45" s="8" t="n">
        <v>2500</v>
      </c>
      <c r="F45" s="8" t="n">
        <v>4500</v>
      </c>
      <c r="G45" s="8" t="n">
        <f aca="false">(E45+F45)/2</f>
        <v>3500</v>
      </c>
      <c r="H45" s="8" t="n">
        <f aca="false">G45*C45</f>
        <v>70000</v>
      </c>
    </row>
    <row r="46" customFormat="false" ht="21.75" hidden="false" customHeight="true" outlineLevel="0" collapsed="false">
      <c r="A46" s="30" t="s">
        <v>303</v>
      </c>
      <c r="B46" s="30" t="s">
        <v>304</v>
      </c>
      <c r="C46" s="31" t="n">
        <v>1</v>
      </c>
      <c r="D46" s="30" t="s">
        <v>252</v>
      </c>
      <c r="E46" s="32" t="n">
        <v>60000</v>
      </c>
      <c r="F46" s="32" t="n">
        <v>120000</v>
      </c>
      <c r="G46" s="32" t="n">
        <f aca="false">(E46+F46)/2</f>
        <v>90000</v>
      </c>
      <c r="H46" s="32" t="n">
        <f aca="false">G46*C46</f>
        <v>90000</v>
      </c>
    </row>
    <row r="47" customFormat="false" ht="19.5" hidden="false" customHeight="true" outlineLevel="0" collapsed="false">
      <c r="A47" s="33" t="s">
        <v>305</v>
      </c>
      <c r="B47" s="33"/>
      <c r="C47" s="33"/>
      <c r="D47" s="33"/>
      <c r="E47" s="33"/>
      <c r="F47" s="33"/>
      <c r="G47" s="33"/>
      <c r="H47" s="34" t="n">
        <f aca="false">SUM(H41:H46)</f>
        <v>274000</v>
      </c>
    </row>
    <row r="48" customFormat="false" ht="6" hidden="false" customHeight="true" outlineLevel="0" collapsed="false"/>
    <row r="49" customFormat="false" ht="18" hidden="false" customHeight="true" outlineLevel="0" collapsed="false">
      <c r="A49" s="4" t="s">
        <v>306</v>
      </c>
      <c r="B49" s="4"/>
      <c r="C49" s="4"/>
      <c r="D49" s="4"/>
      <c r="E49" s="4"/>
      <c r="F49" s="4"/>
      <c r="G49" s="4"/>
      <c r="H49" s="4"/>
    </row>
    <row r="50" customFormat="false" ht="21.75" hidden="false" customHeight="true" outlineLevel="0" collapsed="false">
      <c r="A50" s="30" t="s">
        <v>307</v>
      </c>
      <c r="B50" s="30" t="s">
        <v>308</v>
      </c>
      <c r="C50" s="31" t="n">
        <v>1</v>
      </c>
      <c r="D50" s="30" t="s">
        <v>252</v>
      </c>
      <c r="E50" s="32" t="n">
        <v>80000</v>
      </c>
      <c r="F50" s="32" t="n">
        <v>150000</v>
      </c>
      <c r="G50" s="32" t="n">
        <f aca="false">(E50+F50)/2</f>
        <v>115000</v>
      </c>
      <c r="H50" s="32" t="n">
        <f aca="false">G50*C50</f>
        <v>115000</v>
      </c>
    </row>
    <row r="51" customFormat="false" ht="21.75" hidden="false" customHeight="true" outlineLevel="0" collapsed="false">
      <c r="A51" s="7" t="s">
        <v>309</v>
      </c>
      <c r="B51" s="7" t="s">
        <v>310</v>
      </c>
      <c r="C51" s="21" t="n">
        <v>3</v>
      </c>
      <c r="D51" s="7" t="s">
        <v>235</v>
      </c>
      <c r="E51" s="8" t="n">
        <v>25000</v>
      </c>
      <c r="F51" s="8" t="n">
        <v>40000</v>
      </c>
      <c r="G51" s="8" t="n">
        <f aca="false">(E51+F51)/2</f>
        <v>32500</v>
      </c>
      <c r="H51" s="8" t="n">
        <f aca="false">G51*C51</f>
        <v>97500</v>
      </c>
    </row>
    <row r="52" customFormat="false" ht="21.75" hidden="false" customHeight="true" outlineLevel="0" collapsed="false">
      <c r="A52" s="30" t="s">
        <v>311</v>
      </c>
      <c r="B52" s="30" t="s">
        <v>312</v>
      </c>
      <c r="C52" s="31" t="n">
        <v>1</v>
      </c>
      <c r="D52" s="30" t="s">
        <v>252</v>
      </c>
      <c r="E52" s="32" t="n">
        <v>80000</v>
      </c>
      <c r="F52" s="32" t="n">
        <v>150000</v>
      </c>
      <c r="G52" s="32" t="n">
        <f aca="false">(E52+F52)/2</f>
        <v>115000</v>
      </c>
      <c r="H52" s="32" t="n">
        <f aca="false">G52*C52</f>
        <v>115000</v>
      </c>
    </row>
    <row r="53" customFormat="false" ht="21.75" hidden="false" customHeight="true" outlineLevel="0" collapsed="false">
      <c r="A53" s="7" t="s">
        <v>313</v>
      </c>
      <c r="B53" s="7" t="s">
        <v>314</v>
      </c>
      <c r="C53" s="21" t="n">
        <v>5</v>
      </c>
      <c r="D53" s="7" t="s">
        <v>214</v>
      </c>
      <c r="E53" s="8" t="n">
        <v>40000</v>
      </c>
      <c r="F53" s="8" t="n">
        <v>70000</v>
      </c>
      <c r="G53" s="8" t="n">
        <f aca="false">(E53+F53)/2</f>
        <v>55000</v>
      </c>
      <c r="H53" s="8" t="n">
        <f aca="false">G53*C53</f>
        <v>275000</v>
      </c>
    </row>
    <row r="54" customFormat="false" ht="21.75" hidden="false" customHeight="true" outlineLevel="0" collapsed="false">
      <c r="A54" s="30" t="s">
        <v>315</v>
      </c>
      <c r="B54" s="30" t="s">
        <v>316</v>
      </c>
      <c r="C54" s="31" t="n">
        <v>4</v>
      </c>
      <c r="D54" s="30" t="s">
        <v>214</v>
      </c>
      <c r="E54" s="32" t="n">
        <v>35000</v>
      </c>
      <c r="F54" s="32" t="n">
        <v>60000</v>
      </c>
      <c r="G54" s="32" t="n">
        <f aca="false">(E54+F54)/2</f>
        <v>47500</v>
      </c>
      <c r="H54" s="32" t="n">
        <f aca="false">G54*C54</f>
        <v>190000</v>
      </c>
    </row>
    <row r="55" customFormat="false" ht="21.75" hidden="false" customHeight="true" outlineLevel="0" collapsed="false">
      <c r="A55" s="7" t="s">
        <v>317</v>
      </c>
      <c r="B55" s="7" t="s">
        <v>318</v>
      </c>
      <c r="C55" s="21" t="n">
        <v>1</v>
      </c>
      <c r="D55" s="7" t="s">
        <v>252</v>
      </c>
      <c r="E55" s="8" t="n">
        <v>30000</v>
      </c>
      <c r="F55" s="8" t="n">
        <v>60000</v>
      </c>
      <c r="G55" s="8" t="n">
        <f aca="false">(E55+F55)/2</f>
        <v>45000</v>
      </c>
      <c r="H55" s="8" t="n">
        <f aca="false">G55*C55</f>
        <v>45000</v>
      </c>
    </row>
    <row r="56" customFormat="false" ht="19.5" hidden="false" customHeight="true" outlineLevel="0" collapsed="false">
      <c r="A56" s="33" t="s">
        <v>319</v>
      </c>
      <c r="B56" s="33"/>
      <c r="C56" s="33"/>
      <c r="D56" s="33"/>
      <c r="E56" s="33"/>
      <c r="F56" s="33"/>
      <c r="G56" s="33"/>
      <c r="H56" s="34" t="n">
        <f aca="false">SUM(H50:H55)</f>
        <v>837500</v>
      </c>
    </row>
    <row r="57" customFormat="false" ht="6" hidden="false" customHeight="true" outlineLevel="0" collapsed="false"/>
    <row r="58" customFormat="false" ht="18" hidden="false" customHeight="true" outlineLevel="0" collapsed="false">
      <c r="A58" s="4" t="s">
        <v>320</v>
      </c>
      <c r="B58" s="4"/>
      <c r="C58" s="4"/>
      <c r="D58" s="4"/>
      <c r="E58" s="4"/>
      <c r="F58" s="4"/>
      <c r="G58" s="4"/>
      <c r="H58" s="4"/>
    </row>
    <row r="59" customFormat="false" ht="21.75" hidden="false" customHeight="true" outlineLevel="0" collapsed="false">
      <c r="A59" s="7" t="s">
        <v>321</v>
      </c>
      <c r="B59" s="7" t="s">
        <v>322</v>
      </c>
      <c r="C59" s="21" t="n">
        <v>4</v>
      </c>
      <c r="D59" s="7" t="s">
        <v>172</v>
      </c>
      <c r="E59" s="8" t="n">
        <v>35000</v>
      </c>
      <c r="F59" s="8" t="n">
        <v>60000</v>
      </c>
      <c r="G59" s="8" t="n">
        <f aca="false">(E59+F59)/2</f>
        <v>47500</v>
      </c>
      <c r="H59" s="8" t="n">
        <f aca="false">G59*C59</f>
        <v>190000</v>
      </c>
    </row>
    <row r="60" customFormat="false" ht="21.75" hidden="false" customHeight="true" outlineLevel="0" collapsed="false">
      <c r="A60" s="30" t="s">
        <v>323</v>
      </c>
      <c r="B60" s="30" t="s">
        <v>324</v>
      </c>
      <c r="C60" s="31" t="n">
        <v>2</v>
      </c>
      <c r="D60" s="30" t="s">
        <v>172</v>
      </c>
      <c r="E60" s="32" t="n">
        <v>60000</v>
      </c>
      <c r="F60" s="32" t="n">
        <v>100000</v>
      </c>
      <c r="G60" s="32" t="n">
        <f aca="false">(E60+F60)/2</f>
        <v>80000</v>
      </c>
      <c r="H60" s="32" t="n">
        <f aca="false">G60*C60</f>
        <v>160000</v>
      </c>
    </row>
    <row r="61" customFormat="false" ht="21.75" hidden="false" customHeight="true" outlineLevel="0" collapsed="false">
      <c r="A61" s="7" t="s">
        <v>325</v>
      </c>
      <c r="B61" s="7" t="s">
        <v>326</v>
      </c>
      <c r="C61" s="21" t="n">
        <v>2</v>
      </c>
      <c r="D61" s="7" t="s">
        <v>172</v>
      </c>
      <c r="E61" s="8" t="n">
        <v>30000</v>
      </c>
      <c r="F61" s="8" t="n">
        <v>50000</v>
      </c>
      <c r="G61" s="8" t="n">
        <f aca="false">(E61+F61)/2</f>
        <v>40000</v>
      </c>
      <c r="H61" s="8" t="n">
        <f aca="false">G61*C61</f>
        <v>80000</v>
      </c>
    </row>
    <row r="62" customFormat="false" ht="21.75" hidden="false" customHeight="true" outlineLevel="0" collapsed="false">
      <c r="A62" s="30" t="s">
        <v>327</v>
      </c>
      <c r="B62" s="30" t="s">
        <v>328</v>
      </c>
      <c r="C62" s="31" t="n">
        <v>1</v>
      </c>
      <c r="D62" s="30" t="s">
        <v>131</v>
      </c>
      <c r="E62" s="32" t="n">
        <v>200000</v>
      </c>
      <c r="F62" s="32" t="n">
        <v>300000</v>
      </c>
      <c r="G62" s="32" t="n">
        <f aca="false">(E62+F62)/2</f>
        <v>250000</v>
      </c>
      <c r="H62" s="32" t="n">
        <f aca="false">G62*C62</f>
        <v>250000</v>
      </c>
    </row>
    <row r="63" customFormat="false" ht="21.75" hidden="false" customHeight="true" outlineLevel="0" collapsed="false">
      <c r="A63" s="7" t="s">
        <v>329</v>
      </c>
      <c r="B63" s="7" t="s">
        <v>330</v>
      </c>
      <c r="C63" s="21" t="n">
        <v>3</v>
      </c>
      <c r="D63" s="7" t="s">
        <v>172</v>
      </c>
      <c r="E63" s="8" t="n">
        <v>20000</v>
      </c>
      <c r="F63" s="8" t="n">
        <v>30000</v>
      </c>
      <c r="G63" s="8" t="n">
        <f aca="false">(E63+F63)/2</f>
        <v>25000</v>
      </c>
      <c r="H63" s="8" t="n">
        <f aca="false">G63*C63</f>
        <v>75000</v>
      </c>
    </row>
    <row r="64" customFormat="false" ht="21.75" hidden="false" customHeight="true" outlineLevel="0" collapsed="false">
      <c r="A64" s="30" t="s">
        <v>331</v>
      </c>
      <c r="B64" s="30" t="s">
        <v>332</v>
      </c>
      <c r="C64" s="31" t="n">
        <v>4</v>
      </c>
      <c r="D64" s="30" t="s">
        <v>172</v>
      </c>
      <c r="E64" s="32" t="n">
        <v>15000</v>
      </c>
      <c r="F64" s="32" t="n">
        <v>25000</v>
      </c>
      <c r="G64" s="32" t="n">
        <f aca="false">(E64+F64)/2</f>
        <v>20000</v>
      </c>
      <c r="H64" s="32" t="n">
        <f aca="false">G64*C64</f>
        <v>80000</v>
      </c>
    </row>
    <row r="65" customFormat="false" ht="21.75" hidden="false" customHeight="true" outlineLevel="0" collapsed="false">
      <c r="A65" s="7" t="s">
        <v>333</v>
      </c>
      <c r="B65" s="7" t="s">
        <v>334</v>
      </c>
      <c r="C65" s="21" t="n">
        <v>1</v>
      </c>
      <c r="D65" s="7" t="s">
        <v>131</v>
      </c>
      <c r="E65" s="8" t="n">
        <v>150000</v>
      </c>
      <c r="F65" s="8" t="n">
        <v>250000</v>
      </c>
      <c r="G65" s="8" t="n">
        <f aca="false">(E65+F65)/2</f>
        <v>200000</v>
      </c>
      <c r="H65" s="8" t="n">
        <f aca="false">G65*C65</f>
        <v>200000</v>
      </c>
    </row>
    <row r="66" customFormat="false" ht="21.75" hidden="false" customHeight="true" outlineLevel="0" collapsed="false">
      <c r="A66" s="30" t="s">
        <v>335</v>
      </c>
      <c r="B66" s="30" t="s">
        <v>336</v>
      </c>
      <c r="C66" s="31" t="n">
        <v>60</v>
      </c>
      <c r="D66" s="30" t="s">
        <v>235</v>
      </c>
      <c r="E66" s="32" t="n">
        <v>6000</v>
      </c>
      <c r="F66" s="32" t="n">
        <v>10000</v>
      </c>
      <c r="G66" s="32" t="n">
        <f aca="false">(E66+F66)/2</f>
        <v>8000</v>
      </c>
      <c r="H66" s="32" t="n">
        <f aca="false">G66*C66</f>
        <v>480000</v>
      </c>
    </row>
    <row r="67" customFormat="false" ht="21.75" hidden="false" customHeight="true" outlineLevel="0" collapsed="false">
      <c r="A67" s="7" t="s">
        <v>337</v>
      </c>
      <c r="B67" s="7" t="s">
        <v>338</v>
      </c>
      <c r="C67" s="21" t="n">
        <v>6</v>
      </c>
      <c r="D67" s="7" t="s">
        <v>172</v>
      </c>
      <c r="E67" s="8" t="n">
        <v>20000</v>
      </c>
      <c r="F67" s="8" t="n">
        <v>30000</v>
      </c>
      <c r="G67" s="8" t="n">
        <f aca="false">(E67+F67)/2</f>
        <v>25000</v>
      </c>
      <c r="H67" s="8" t="n">
        <f aca="false">G67*C67</f>
        <v>150000</v>
      </c>
    </row>
    <row r="68" customFormat="false" ht="19.5" hidden="false" customHeight="true" outlineLevel="0" collapsed="false">
      <c r="A68" s="33" t="s">
        <v>339</v>
      </c>
      <c r="B68" s="33"/>
      <c r="C68" s="33"/>
      <c r="D68" s="33"/>
      <c r="E68" s="33"/>
      <c r="F68" s="33"/>
      <c r="G68" s="33"/>
      <c r="H68" s="34" t="n">
        <f aca="false">SUM(H59:H67)</f>
        <v>1665000</v>
      </c>
    </row>
    <row r="69" customFormat="false" ht="6" hidden="false" customHeight="true" outlineLevel="0" collapsed="false"/>
    <row r="70" customFormat="false" ht="18" hidden="false" customHeight="true" outlineLevel="0" collapsed="false">
      <c r="A70" s="4" t="s">
        <v>340</v>
      </c>
      <c r="B70" s="4"/>
      <c r="C70" s="4"/>
      <c r="D70" s="4"/>
      <c r="E70" s="4"/>
      <c r="F70" s="4"/>
      <c r="G70" s="4"/>
      <c r="H70" s="4"/>
    </row>
    <row r="71" customFormat="false" ht="21.75" hidden="false" customHeight="true" outlineLevel="0" collapsed="false">
      <c r="A71" s="7" t="s">
        <v>341</v>
      </c>
      <c r="B71" s="7" t="s">
        <v>342</v>
      </c>
      <c r="C71" s="21" t="n">
        <v>288</v>
      </c>
      <c r="D71" s="7" t="s">
        <v>172</v>
      </c>
      <c r="E71" s="8" t="n">
        <v>6000</v>
      </c>
      <c r="F71" s="8" t="n">
        <v>10000</v>
      </c>
      <c r="G71" s="8" t="n">
        <f aca="false">(E71+F71)/2</f>
        <v>8000</v>
      </c>
      <c r="H71" s="8" t="n">
        <f aca="false">G71*C71</f>
        <v>2304000</v>
      </c>
    </row>
    <row r="72" customFormat="false" ht="21.75" hidden="false" customHeight="true" outlineLevel="0" collapsed="false">
      <c r="A72" s="30" t="s">
        <v>343</v>
      </c>
      <c r="B72" s="30" t="s">
        <v>344</v>
      </c>
      <c r="C72" s="31" t="n">
        <v>576</v>
      </c>
      <c r="D72" s="30" t="s">
        <v>172</v>
      </c>
      <c r="E72" s="32" t="n">
        <v>4000</v>
      </c>
      <c r="F72" s="32" t="n">
        <v>6000</v>
      </c>
      <c r="G72" s="32" t="n">
        <f aca="false">(E72+F72)/2</f>
        <v>5000</v>
      </c>
      <c r="H72" s="32" t="n">
        <f aca="false">G72*C72</f>
        <v>2880000</v>
      </c>
    </row>
    <row r="73" customFormat="false" ht="21.75" hidden="false" customHeight="true" outlineLevel="0" collapsed="false">
      <c r="A73" s="7" t="s">
        <v>345</v>
      </c>
      <c r="B73" s="7" t="s">
        <v>346</v>
      </c>
      <c r="C73" s="21" t="n">
        <v>576</v>
      </c>
      <c r="D73" s="7" t="s">
        <v>235</v>
      </c>
      <c r="E73" s="8" t="n">
        <v>4000</v>
      </c>
      <c r="F73" s="8" t="n">
        <v>6500</v>
      </c>
      <c r="G73" s="8" t="n">
        <f aca="false">(E73+F73)/2</f>
        <v>5250</v>
      </c>
      <c r="H73" s="8" t="n">
        <f aca="false">G73*C73</f>
        <v>3024000</v>
      </c>
    </row>
    <row r="74" customFormat="false" ht="21.75" hidden="false" customHeight="true" outlineLevel="0" collapsed="false">
      <c r="A74" s="30" t="s">
        <v>347</v>
      </c>
      <c r="B74" s="30" t="s">
        <v>348</v>
      </c>
      <c r="C74" s="31" t="n">
        <v>150</v>
      </c>
      <c r="D74" s="30" t="s">
        <v>172</v>
      </c>
      <c r="E74" s="32" t="n">
        <v>3500</v>
      </c>
      <c r="F74" s="32" t="n">
        <v>5000</v>
      </c>
      <c r="G74" s="32" t="n">
        <f aca="false">(E74+F74)/2</f>
        <v>4250</v>
      </c>
      <c r="H74" s="32" t="n">
        <f aca="false">G74*C74</f>
        <v>637500</v>
      </c>
    </row>
    <row r="75" customFormat="false" ht="21.75" hidden="false" customHeight="true" outlineLevel="0" collapsed="false">
      <c r="A75" s="7" t="s">
        <v>349</v>
      </c>
      <c r="B75" s="7" t="s">
        <v>350</v>
      </c>
      <c r="C75" s="21" t="n">
        <v>6</v>
      </c>
      <c r="D75" s="7" t="s">
        <v>235</v>
      </c>
      <c r="E75" s="8" t="n">
        <v>40000</v>
      </c>
      <c r="F75" s="8" t="n">
        <v>60000</v>
      </c>
      <c r="G75" s="8" t="n">
        <f aca="false">(E75+F75)/2</f>
        <v>50000</v>
      </c>
      <c r="H75" s="8" t="n">
        <f aca="false">G75*C75</f>
        <v>300000</v>
      </c>
    </row>
    <row r="76" customFormat="false" ht="21.75" hidden="false" customHeight="true" outlineLevel="0" collapsed="false">
      <c r="A76" s="30" t="s">
        <v>351</v>
      </c>
      <c r="B76" s="30" t="s">
        <v>352</v>
      </c>
      <c r="C76" s="31" t="n">
        <v>12</v>
      </c>
      <c r="D76" s="30" t="s">
        <v>172</v>
      </c>
      <c r="E76" s="32" t="n">
        <v>50000</v>
      </c>
      <c r="F76" s="32" t="n">
        <v>80000</v>
      </c>
      <c r="G76" s="32" t="n">
        <f aca="false">(E76+F76)/2</f>
        <v>65000</v>
      </c>
      <c r="H76" s="32" t="n">
        <f aca="false">G76*C76</f>
        <v>780000</v>
      </c>
    </row>
    <row r="77" customFormat="false" ht="19.5" hidden="false" customHeight="true" outlineLevel="0" collapsed="false">
      <c r="A77" s="33" t="s">
        <v>353</v>
      </c>
      <c r="B77" s="33"/>
      <c r="C77" s="33"/>
      <c r="D77" s="33"/>
      <c r="E77" s="33"/>
      <c r="F77" s="33"/>
      <c r="G77" s="33"/>
      <c r="H77" s="34" t="n">
        <f aca="false">SUM(H71:H76)</f>
        <v>9925500</v>
      </c>
    </row>
    <row r="78" customFormat="false" ht="6" hidden="false" customHeight="true" outlineLevel="0" collapsed="false"/>
    <row r="79" customFormat="false" ht="18" hidden="false" customHeight="true" outlineLevel="0" collapsed="false">
      <c r="A79" s="4" t="s">
        <v>354</v>
      </c>
      <c r="B79" s="4"/>
      <c r="C79" s="4"/>
      <c r="D79" s="4"/>
      <c r="E79" s="4"/>
      <c r="F79" s="4"/>
      <c r="G79" s="4"/>
      <c r="H79" s="4"/>
    </row>
    <row r="80" customFormat="false" ht="21.75" hidden="false" customHeight="true" outlineLevel="0" collapsed="false">
      <c r="A80" s="30" t="s">
        <v>355</v>
      </c>
      <c r="B80" s="30" t="s">
        <v>356</v>
      </c>
      <c r="C80" s="31" t="n">
        <v>100</v>
      </c>
      <c r="D80" s="30" t="s">
        <v>172</v>
      </c>
      <c r="E80" s="32" t="n">
        <v>3500</v>
      </c>
      <c r="F80" s="32" t="n">
        <v>6000</v>
      </c>
      <c r="G80" s="32" t="n">
        <f aca="false">(E80+F80)/2</f>
        <v>4750</v>
      </c>
      <c r="H80" s="32" t="n">
        <f aca="false">G80*C80</f>
        <v>475000</v>
      </c>
    </row>
    <row r="81" customFormat="false" ht="21.75" hidden="false" customHeight="true" outlineLevel="0" collapsed="false">
      <c r="A81" s="7" t="s">
        <v>357</v>
      </c>
      <c r="B81" s="7" t="s">
        <v>358</v>
      </c>
      <c r="C81" s="21" t="n">
        <v>4</v>
      </c>
      <c r="D81" s="7" t="s">
        <v>172</v>
      </c>
      <c r="E81" s="8" t="n">
        <v>25000</v>
      </c>
      <c r="F81" s="8" t="n">
        <v>40000</v>
      </c>
      <c r="G81" s="8" t="n">
        <f aca="false">(E81+F81)/2</f>
        <v>32500</v>
      </c>
      <c r="H81" s="8" t="n">
        <f aca="false">G81*C81</f>
        <v>130000</v>
      </c>
    </row>
    <row r="82" customFormat="false" ht="21.75" hidden="false" customHeight="true" outlineLevel="0" collapsed="false">
      <c r="A82" s="30" t="s">
        <v>359</v>
      </c>
      <c r="B82" s="30" t="s">
        <v>360</v>
      </c>
      <c r="C82" s="31" t="n">
        <v>80</v>
      </c>
      <c r="D82" s="30" t="s">
        <v>172</v>
      </c>
      <c r="E82" s="32" t="n">
        <v>3500</v>
      </c>
      <c r="F82" s="32" t="n">
        <v>8000</v>
      </c>
      <c r="G82" s="32" t="n">
        <f aca="false">(E82+F82)/2</f>
        <v>5750</v>
      </c>
      <c r="H82" s="32" t="n">
        <f aca="false">G82*C82</f>
        <v>460000</v>
      </c>
    </row>
    <row r="83" customFormat="false" ht="21.75" hidden="false" customHeight="true" outlineLevel="0" collapsed="false">
      <c r="A83" s="7" t="s">
        <v>361</v>
      </c>
      <c r="B83" s="7" t="s">
        <v>362</v>
      </c>
      <c r="C83" s="21" t="n">
        <v>1</v>
      </c>
      <c r="D83" s="7" t="s">
        <v>363</v>
      </c>
      <c r="E83" s="8" t="n">
        <v>600000</v>
      </c>
      <c r="F83" s="8" t="n">
        <v>1000000</v>
      </c>
      <c r="G83" s="8" t="n">
        <f aca="false">(E83+F83)/2</f>
        <v>800000</v>
      </c>
      <c r="H83" s="8" t="n">
        <f aca="false">G83*C83</f>
        <v>800000</v>
      </c>
    </row>
    <row r="84" customFormat="false" ht="21.75" hidden="false" customHeight="true" outlineLevel="0" collapsed="false">
      <c r="A84" s="30" t="s">
        <v>364</v>
      </c>
      <c r="B84" s="30" t="s">
        <v>365</v>
      </c>
      <c r="C84" s="31" t="n">
        <v>35</v>
      </c>
      <c r="D84" s="30" t="s">
        <v>172</v>
      </c>
      <c r="E84" s="32" t="n">
        <v>8000</v>
      </c>
      <c r="F84" s="32" t="n">
        <v>15000</v>
      </c>
      <c r="G84" s="32" t="n">
        <f aca="false">(E84+F84)/2</f>
        <v>11500</v>
      </c>
      <c r="H84" s="32" t="n">
        <f aca="false">G84*C84</f>
        <v>402500</v>
      </c>
    </row>
    <row r="85" customFormat="false" ht="21.75" hidden="false" customHeight="true" outlineLevel="0" collapsed="false">
      <c r="A85" s="7" t="s">
        <v>366</v>
      </c>
      <c r="B85" s="7" t="s">
        <v>367</v>
      </c>
      <c r="C85" s="21" t="n">
        <v>1</v>
      </c>
      <c r="D85" s="7" t="s">
        <v>363</v>
      </c>
      <c r="E85" s="8" t="n">
        <v>150000</v>
      </c>
      <c r="F85" s="8" t="n">
        <v>350000</v>
      </c>
      <c r="G85" s="8" t="n">
        <f aca="false">(E85+F85)/2</f>
        <v>250000</v>
      </c>
      <c r="H85" s="8" t="n">
        <f aca="false">G85*C85</f>
        <v>250000</v>
      </c>
    </row>
    <row r="86" customFormat="false" ht="21.75" hidden="false" customHeight="true" outlineLevel="0" collapsed="false">
      <c r="A86" s="30" t="s">
        <v>368</v>
      </c>
      <c r="B86" s="30" t="s">
        <v>369</v>
      </c>
      <c r="C86" s="31" t="n">
        <v>75</v>
      </c>
      <c r="D86" s="30" t="s">
        <v>370</v>
      </c>
      <c r="E86" s="32" t="n">
        <v>45000</v>
      </c>
      <c r="F86" s="32" t="n">
        <v>60000</v>
      </c>
      <c r="G86" s="32" t="n">
        <f aca="false">(E86+F86)/2</f>
        <v>52500</v>
      </c>
      <c r="H86" s="32" t="n">
        <f aca="false">G86*C86</f>
        <v>3937500</v>
      </c>
    </row>
    <row r="87" customFormat="false" ht="21.75" hidden="false" customHeight="true" outlineLevel="0" collapsed="false">
      <c r="A87" s="7" t="s">
        <v>371</v>
      </c>
      <c r="B87" s="7" t="s">
        <v>372</v>
      </c>
      <c r="C87" s="21" t="n">
        <v>2</v>
      </c>
      <c r="D87" s="7" t="s">
        <v>172</v>
      </c>
      <c r="E87" s="8" t="n">
        <v>80000</v>
      </c>
      <c r="F87" s="8" t="n">
        <v>120000</v>
      </c>
      <c r="G87" s="8" t="n">
        <f aca="false">(E87+F87)/2</f>
        <v>100000</v>
      </c>
      <c r="H87" s="8" t="n">
        <f aca="false">G87*C87</f>
        <v>200000</v>
      </c>
    </row>
    <row r="88" customFormat="false" ht="19.5" hidden="false" customHeight="true" outlineLevel="0" collapsed="false">
      <c r="A88" s="33" t="s">
        <v>373</v>
      </c>
      <c r="B88" s="33"/>
      <c r="C88" s="33"/>
      <c r="D88" s="33"/>
      <c r="E88" s="33"/>
      <c r="F88" s="33"/>
      <c r="G88" s="33"/>
      <c r="H88" s="34" t="n">
        <f aca="false">SUM(H80:H87)</f>
        <v>6655000</v>
      </c>
    </row>
    <row r="89" customFormat="false" ht="6" hidden="false" customHeight="true" outlineLevel="0" collapsed="false"/>
    <row r="90" customFormat="false" ht="25.5" hidden="false" customHeight="true" outlineLevel="0" collapsed="false">
      <c r="A90" s="35" t="s">
        <v>374</v>
      </c>
      <c r="B90" s="35"/>
      <c r="C90" s="35"/>
      <c r="D90" s="35"/>
      <c r="E90" s="35"/>
      <c r="F90" s="35"/>
      <c r="G90" s="35"/>
      <c r="H90" s="36" t="n">
        <f aca="false">SUM(H14+H27+H38+H47+H56+H68+H77+H88)</f>
        <v>32092500</v>
      </c>
    </row>
    <row r="91" customFormat="false" ht="19.5" hidden="false" customHeight="true" outlineLevel="0" collapsed="false">
      <c r="A91" s="24" t="s">
        <v>110</v>
      </c>
      <c r="B91" s="24"/>
      <c r="C91" s="24"/>
      <c r="D91" s="24"/>
      <c r="E91" s="24"/>
      <c r="F91" s="24"/>
      <c r="G91" s="24"/>
      <c r="H91" s="25" t="n">
        <f aca="false">H90*0.1</f>
        <v>3209250</v>
      </c>
    </row>
    <row r="92" customFormat="false" ht="25.5" hidden="false" customHeight="true" outlineLevel="0" collapsed="false">
      <c r="A92" s="26" t="s">
        <v>375</v>
      </c>
      <c r="B92" s="26"/>
      <c r="C92" s="26"/>
      <c r="D92" s="26"/>
      <c r="E92" s="26"/>
      <c r="F92" s="26"/>
      <c r="G92" s="26"/>
      <c r="H92" s="27" t="n">
        <f aca="false">H90+H91</f>
        <v>35301750</v>
      </c>
    </row>
  </sheetData>
  <mergeCells count="10">
    <mergeCell ref="A1:H1"/>
    <mergeCell ref="A2:H2"/>
    <mergeCell ref="A5:H5"/>
    <mergeCell ref="A16:H16"/>
    <mergeCell ref="A29:H29"/>
    <mergeCell ref="A40:H40"/>
    <mergeCell ref="A49:H49"/>
    <mergeCell ref="A58:H58"/>
    <mergeCell ref="A70:H70"/>
    <mergeCell ref="A79:H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4" min="3" style="0" width="8"/>
    <col collapsed="false" customWidth="true" hidden="false" outlineLevel="0" max="7" min="5" style="0" width="14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37" t="s">
        <v>376</v>
      </c>
      <c r="B1" s="37"/>
      <c r="C1" s="37"/>
      <c r="D1" s="37"/>
      <c r="E1" s="37"/>
      <c r="F1" s="37"/>
      <c r="G1" s="37"/>
      <c r="H1" s="37"/>
    </row>
    <row r="2" customFormat="false" ht="13.5" hidden="false" customHeight="true" outlineLevel="0" collapsed="false">
      <c r="A2" s="17" t="s">
        <v>377</v>
      </c>
      <c r="B2" s="17"/>
      <c r="C2" s="17"/>
      <c r="D2" s="17"/>
      <c r="E2" s="17"/>
      <c r="F2" s="17"/>
      <c r="G2" s="17"/>
      <c r="H2" s="17"/>
    </row>
    <row r="3" customFormat="false" ht="6" hidden="false" customHeight="true" outlineLevel="0" collapsed="false"/>
    <row r="4" customFormat="false" ht="15" hidden="false" customHeight="false" outlineLevel="0" collapsed="false">
      <c r="A4" s="38" t="s">
        <v>223</v>
      </c>
      <c r="B4" s="38" t="s">
        <v>224</v>
      </c>
      <c r="C4" s="38" t="s">
        <v>225</v>
      </c>
      <c r="D4" s="38" t="s">
        <v>121</v>
      </c>
      <c r="E4" s="38" t="s">
        <v>226</v>
      </c>
      <c r="F4" s="38" t="s">
        <v>227</v>
      </c>
      <c r="G4" s="38" t="s">
        <v>228</v>
      </c>
      <c r="H4" s="38" t="s">
        <v>229</v>
      </c>
    </row>
    <row r="5" customFormat="false" ht="21.75" hidden="false" customHeight="true" outlineLevel="0" collapsed="false">
      <c r="A5" s="7" t="s">
        <v>378</v>
      </c>
      <c r="B5" s="7" t="s">
        <v>379</v>
      </c>
      <c r="C5" s="21" t="n">
        <v>100</v>
      </c>
      <c r="D5" s="7" t="s">
        <v>172</v>
      </c>
      <c r="E5" s="8" t="n">
        <v>4000</v>
      </c>
      <c r="F5" s="8" t="n">
        <v>6000</v>
      </c>
      <c r="G5" s="8" t="n">
        <f aca="false">(E5+F5)/2</f>
        <v>5000</v>
      </c>
      <c r="H5" s="8" t="n">
        <f aca="false">G5*C5</f>
        <v>500000</v>
      </c>
    </row>
    <row r="6" customFormat="false" ht="21.75" hidden="false" customHeight="true" outlineLevel="0" collapsed="false">
      <c r="A6" s="39" t="s">
        <v>380</v>
      </c>
      <c r="B6" s="39" t="s">
        <v>381</v>
      </c>
      <c r="C6" s="40" t="n">
        <v>300</v>
      </c>
      <c r="D6" s="39" t="s">
        <v>172</v>
      </c>
      <c r="E6" s="41" t="n">
        <v>3500</v>
      </c>
      <c r="F6" s="41" t="n">
        <v>6000</v>
      </c>
      <c r="G6" s="41" t="n">
        <f aca="false">(E6+F6)/2</f>
        <v>4750</v>
      </c>
      <c r="H6" s="41" t="n">
        <f aca="false">G6*C6</f>
        <v>1425000</v>
      </c>
    </row>
    <row r="7" customFormat="false" ht="21.75" hidden="false" customHeight="true" outlineLevel="0" collapsed="false">
      <c r="A7" s="7" t="s">
        <v>382</v>
      </c>
      <c r="B7" s="7" t="s">
        <v>383</v>
      </c>
      <c r="C7" s="21" t="n">
        <v>300</v>
      </c>
      <c r="D7" s="7" t="s">
        <v>172</v>
      </c>
      <c r="E7" s="8" t="n">
        <v>1800</v>
      </c>
      <c r="F7" s="8" t="n">
        <v>3000</v>
      </c>
      <c r="G7" s="8" t="n">
        <f aca="false">(E7+F7)/2</f>
        <v>2400</v>
      </c>
      <c r="H7" s="8" t="n">
        <f aca="false">G7*C7</f>
        <v>720000</v>
      </c>
    </row>
    <row r="8" customFormat="false" ht="21.75" hidden="false" customHeight="true" outlineLevel="0" collapsed="false">
      <c r="A8" s="39" t="s">
        <v>384</v>
      </c>
      <c r="B8" s="39" t="s">
        <v>385</v>
      </c>
      <c r="C8" s="40" t="n">
        <v>20</v>
      </c>
      <c r="D8" s="39" t="s">
        <v>172</v>
      </c>
      <c r="E8" s="41" t="n">
        <v>3500</v>
      </c>
      <c r="F8" s="41" t="n">
        <v>5000</v>
      </c>
      <c r="G8" s="41" t="n">
        <f aca="false">(E8+F8)/2</f>
        <v>4250</v>
      </c>
      <c r="H8" s="41" t="n">
        <f aca="false">G8*C8</f>
        <v>85000</v>
      </c>
    </row>
    <row r="9" customFormat="false" ht="21.75" hidden="false" customHeight="true" outlineLevel="0" collapsed="false">
      <c r="A9" s="7" t="s">
        <v>386</v>
      </c>
      <c r="B9" s="7" t="s">
        <v>387</v>
      </c>
      <c r="C9" s="21" t="n">
        <v>8</v>
      </c>
      <c r="D9" s="7" t="s">
        <v>235</v>
      </c>
      <c r="E9" s="8" t="n">
        <v>5000</v>
      </c>
      <c r="F9" s="8" t="n">
        <v>8000</v>
      </c>
      <c r="G9" s="8" t="n">
        <f aca="false">(E9+F9)/2</f>
        <v>6500</v>
      </c>
      <c r="H9" s="8" t="n">
        <f aca="false">G9*C9</f>
        <v>52000</v>
      </c>
    </row>
    <row r="10" customFormat="false" ht="21.75" hidden="false" customHeight="true" outlineLevel="0" collapsed="false">
      <c r="A10" s="39" t="s">
        <v>388</v>
      </c>
      <c r="B10" s="39" t="s">
        <v>389</v>
      </c>
      <c r="C10" s="40" t="n">
        <v>10</v>
      </c>
      <c r="D10" s="39" t="s">
        <v>235</v>
      </c>
      <c r="E10" s="41" t="n">
        <v>15000</v>
      </c>
      <c r="F10" s="41" t="n">
        <v>25000</v>
      </c>
      <c r="G10" s="41" t="n">
        <f aca="false">(E10+F10)/2</f>
        <v>20000</v>
      </c>
      <c r="H10" s="41" t="n">
        <f aca="false">G10*C10</f>
        <v>200000</v>
      </c>
    </row>
    <row r="11" customFormat="false" ht="21.75" hidden="false" customHeight="true" outlineLevel="0" collapsed="false">
      <c r="A11" s="7" t="s">
        <v>390</v>
      </c>
      <c r="B11" s="7" t="s">
        <v>391</v>
      </c>
      <c r="C11" s="21" t="n">
        <v>1</v>
      </c>
      <c r="D11" s="7" t="s">
        <v>363</v>
      </c>
      <c r="E11" s="8" t="n">
        <v>250000</v>
      </c>
      <c r="F11" s="8" t="n">
        <v>450000</v>
      </c>
      <c r="G11" s="8" t="n">
        <f aca="false">(E11+F11)/2</f>
        <v>350000</v>
      </c>
      <c r="H11" s="8" t="n">
        <f aca="false">G11*C11</f>
        <v>350000</v>
      </c>
    </row>
    <row r="12" customFormat="false" ht="21.75" hidden="false" customHeight="true" outlineLevel="0" collapsed="false">
      <c r="A12" s="39" t="s">
        <v>392</v>
      </c>
      <c r="B12" s="39" t="s">
        <v>393</v>
      </c>
      <c r="C12" s="40" t="n">
        <v>10</v>
      </c>
      <c r="D12" s="39" t="s">
        <v>172</v>
      </c>
      <c r="E12" s="41" t="n">
        <v>40000</v>
      </c>
      <c r="F12" s="41" t="n">
        <v>55000</v>
      </c>
      <c r="G12" s="41" t="n">
        <f aca="false">(E12+F12)/2</f>
        <v>47500</v>
      </c>
      <c r="H12" s="41" t="n">
        <f aca="false">G12*C12</f>
        <v>475000</v>
      </c>
    </row>
    <row r="13" customFormat="false" ht="21.75" hidden="false" customHeight="true" outlineLevel="0" collapsed="false">
      <c r="A13" s="7" t="s">
        <v>394</v>
      </c>
      <c r="B13" s="7" t="s">
        <v>395</v>
      </c>
      <c r="C13" s="21" t="n">
        <v>1</v>
      </c>
      <c r="D13" s="7" t="s">
        <v>252</v>
      </c>
      <c r="E13" s="8" t="n">
        <v>20000</v>
      </c>
      <c r="F13" s="8" t="n">
        <v>30000</v>
      </c>
      <c r="G13" s="8" t="n">
        <f aca="false">(E13+F13)/2</f>
        <v>25000</v>
      </c>
      <c r="H13" s="8" t="n">
        <f aca="false">G13*C13</f>
        <v>25000</v>
      </c>
    </row>
    <row r="14" customFormat="false" ht="21.75" hidden="false" customHeight="true" outlineLevel="0" collapsed="false">
      <c r="A14" s="39" t="s">
        <v>396</v>
      </c>
      <c r="B14" s="39" t="s">
        <v>397</v>
      </c>
      <c r="C14" s="40" t="n">
        <v>5</v>
      </c>
      <c r="D14" s="39" t="s">
        <v>172</v>
      </c>
      <c r="E14" s="41" t="n">
        <v>2500</v>
      </c>
      <c r="F14" s="41" t="n">
        <v>5000</v>
      </c>
      <c r="G14" s="41" t="n">
        <f aca="false">(E14+F14)/2</f>
        <v>3750</v>
      </c>
      <c r="H14" s="41" t="n">
        <f aca="false">G14*C14</f>
        <v>18750</v>
      </c>
    </row>
    <row r="15" customFormat="false" ht="21.75" hidden="false" customHeight="true" outlineLevel="0" collapsed="false">
      <c r="A15" s="7" t="s">
        <v>398</v>
      </c>
      <c r="B15" s="7" t="s">
        <v>399</v>
      </c>
      <c r="C15" s="21" t="n">
        <v>5</v>
      </c>
      <c r="D15" s="7" t="s">
        <v>172</v>
      </c>
      <c r="E15" s="8" t="n">
        <v>3000</v>
      </c>
      <c r="F15" s="8" t="n">
        <v>5000</v>
      </c>
      <c r="G15" s="8" t="n">
        <f aca="false">(E15+F15)/2</f>
        <v>4000</v>
      </c>
      <c r="H15" s="8" t="n">
        <f aca="false">G15*C15</f>
        <v>20000</v>
      </c>
    </row>
    <row r="16" customFormat="false" ht="21.75" hidden="false" customHeight="true" outlineLevel="0" collapsed="false">
      <c r="A16" s="39" t="s">
        <v>400</v>
      </c>
      <c r="B16" s="39" t="s">
        <v>401</v>
      </c>
      <c r="C16" s="40" t="n">
        <v>10</v>
      </c>
      <c r="D16" s="39" t="s">
        <v>172</v>
      </c>
      <c r="E16" s="41" t="n">
        <v>25000</v>
      </c>
      <c r="F16" s="41" t="n">
        <v>45000</v>
      </c>
      <c r="G16" s="41" t="n">
        <f aca="false">(E16+F16)/2</f>
        <v>35000</v>
      </c>
      <c r="H16" s="41" t="n">
        <f aca="false">G16*C16</f>
        <v>350000</v>
      </c>
    </row>
    <row r="17" customFormat="false" ht="21.75" hidden="false" customHeight="true" outlineLevel="0" collapsed="false">
      <c r="A17" s="7" t="s">
        <v>402</v>
      </c>
      <c r="B17" s="7" t="s">
        <v>403</v>
      </c>
      <c r="C17" s="21" t="n">
        <v>10000</v>
      </c>
      <c r="D17" s="7" t="s">
        <v>404</v>
      </c>
      <c r="E17" s="8" t="n">
        <v>150</v>
      </c>
      <c r="F17" s="8" t="n">
        <v>300</v>
      </c>
      <c r="G17" s="8" t="n">
        <f aca="false">(E17+F17)/2</f>
        <v>225</v>
      </c>
      <c r="H17" s="8" t="n">
        <f aca="false">G17*C17</f>
        <v>2250000</v>
      </c>
    </row>
    <row r="18" customFormat="false" ht="21.75" hidden="false" customHeight="true" outlineLevel="0" collapsed="false">
      <c r="A18" s="39" t="s">
        <v>405</v>
      </c>
      <c r="B18" s="39" t="s">
        <v>406</v>
      </c>
      <c r="C18" s="40" t="n">
        <v>1</v>
      </c>
      <c r="D18" s="39" t="s">
        <v>138</v>
      </c>
      <c r="E18" s="41" t="n">
        <v>200000</v>
      </c>
      <c r="F18" s="41" t="n">
        <v>500000</v>
      </c>
      <c r="G18" s="41" t="n">
        <f aca="false">(E18+F18)/2</f>
        <v>350000</v>
      </c>
      <c r="H18" s="41" t="n">
        <f aca="false">G18*C18</f>
        <v>350000</v>
      </c>
    </row>
    <row r="19" customFormat="false" ht="21.75" hidden="false" customHeight="true" outlineLevel="0" collapsed="false">
      <c r="A19" s="7" t="s">
        <v>407</v>
      </c>
      <c r="B19" s="7" t="s">
        <v>408</v>
      </c>
      <c r="C19" s="21" t="n">
        <v>1</v>
      </c>
      <c r="D19" s="7" t="s">
        <v>252</v>
      </c>
      <c r="E19" s="8" t="n">
        <v>80000</v>
      </c>
      <c r="F19" s="8" t="n">
        <v>120000</v>
      </c>
      <c r="G19" s="8" t="n">
        <f aca="false">(E19+F19)/2</f>
        <v>100000</v>
      </c>
      <c r="H19" s="8" t="n">
        <f aca="false">G19*C19</f>
        <v>100000</v>
      </c>
    </row>
    <row r="20" customFormat="false" ht="25.5" hidden="false" customHeight="true" outlineLevel="0" collapsed="false">
      <c r="A20" s="42" t="s">
        <v>409</v>
      </c>
      <c r="B20" s="42"/>
      <c r="C20" s="42"/>
      <c r="D20" s="42"/>
      <c r="E20" s="42"/>
      <c r="F20" s="42"/>
      <c r="G20" s="42"/>
      <c r="H20" s="43" t="n">
        <f aca="false">SUM(H5:H19)</f>
        <v>6920750</v>
      </c>
    </row>
    <row r="21" customFormat="false" ht="19.5" hidden="false" customHeight="true" outlineLevel="0" collapsed="false">
      <c r="A21" s="44" t="s">
        <v>110</v>
      </c>
      <c r="B21" s="44"/>
      <c r="C21" s="44"/>
      <c r="D21" s="44"/>
      <c r="E21" s="44"/>
      <c r="F21" s="44"/>
      <c r="G21" s="44"/>
      <c r="H21" s="45" t="n">
        <f aca="false">H20*0.1</f>
        <v>692075</v>
      </c>
    </row>
    <row r="22" customFormat="false" ht="25.5" hidden="false" customHeight="true" outlineLevel="0" collapsed="false">
      <c r="A22" s="42" t="s">
        <v>410</v>
      </c>
      <c r="B22" s="42"/>
      <c r="C22" s="42"/>
      <c r="D22" s="42"/>
      <c r="E22" s="42"/>
      <c r="F22" s="42"/>
      <c r="G22" s="42"/>
      <c r="H22" s="43" t="n">
        <f aca="false">H20+H21</f>
        <v>7612825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2026-07-16T11:17:39Z</dcterms:created>
  <dc:creator>openpyxl</dc:creator>
  <dc:description/>
  <dc:language>en-US</dc:language>
  <cp:lastModifiedBy/>
  <dcterms:modified xsi:type="dcterms:W3CDTF">2026-07-16T11:17:39Z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