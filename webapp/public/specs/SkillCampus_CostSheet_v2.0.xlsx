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 Campus - Civil" sheetId="1" state="visible" r:id="rId3"/>
    <sheet name="Skill Campus - Fit-O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<sst xmlns="http://schemas.openxmlformats.org/spreadsheetml/2006/main" count="151" uniqueCount="108">
  <si>
    <t xml:space="preserve">SKILL CAMPUS + SOFTWARE DEVELOPMENT PARK — CIVIL CONSTRUCTION COST SHEET</t>
  </si>
  <si>
    <t xml:space="preserve">Land area for Skill Campus: TBD (need 3–4 acres separate from Academic Zone). Rates: Built-up ₹2,500/sq ft; Open ₹500/sq ft; Road ₹1,200/sq mt; Fencing ₹400/m</t>
  </si>
  <si>
    <t xml:space="preserve">Component</t>
  </si>
  <si>
    <t xml:space="preserve">Area / Qty</t>
  </si>
  <si>
    <t xml:space="preserve">Unit</t>
  </si>
  <si>
    <t xml:space="preserve">Rate (₹)</t>
  </si>
  <si>
    <t xml:space="preserve">Total Cost (₹)</t>
  </si>
  <si>
    <t xml:space="preserve">Notes</t>
  </si>
  <si>
    <t xml:space="preserve">Skill Campus building — 2 floors (workshops + admin)</t>
  </si>
  <si>
    <t xml:space="preserve">sq ft</t>
  </si>
  <si>
    <t xml:space="preserve">Industrial grade; 14 ft ceiling; 3-phase power</t>
  </si>
  <si>
    <t xml:space="preserve">Civil trades training yard (covered shed + open area)</t>
  </si>
  <si>
    <t xml:space="preserve">Covered shed 40%; open yard; drainage</t>
  </si>
  <si>
    <t xml:space="preserve">Software Development Park (if standalone — see note)</t>
  </si>
  <si>
    <t xml:space="preserve">If integrated in Skill Campus building — already counted above</t>
  </si>
  <si>
    <t xml:space="preserve">Skill student hostel (225 students — separate land)</t>
  </si>
  <si>
    <t xml:space="preserve">lump sum</t>
  </si>
  <si>
    <t xml:space="preserve">Estimated ₹2.5 Cr for 225-student hostel on separate land</t>
  </si>
  <si>
    <t xml:space="preserve">Utilities — industrial 3-phase, LPG/PNG, water, drainage</t>
  </si>
  <si>
    <t xml:space="preserve">Industrial power + gas + water for Skill Campus</t>
  </si>
  <si>
    <t xml:space="preserve">Internal roads + perimeter fencing (skill campus)</t>
  </si>
  <si>
    <t xml:space="preserve">Depends on land parcel allocated</t>
  </si>
  <si>
    <t xml:space="preserve">CIVIL SUBTOTAL</t>
  </si>
  <si>
    <t xml:space="preserve">~₹10.9 Crores</t>
  </si>
  <si>
    <t xml:space="preserve">SKILL CAMPUS — FIT-OUT, EQUIPMENT &amp; FURNITURE COST SHEET</t>
  </si>
  <si>
    <t xml:space="preserve">Prices from Pune/Maharashtra market — July 2026. Workshop equipment costs vary widely by skill unit — ranges shown are indicative.</t>
  </si>
  <si>
    <t xml:space="preserve">Item</t>
  </si>
  <si>
    <t xml:space="preserve">Specification</t>
  </si>
  <si>
    <t xml:space="preserve">Qty</t>
  </si>
  <si>
    <t xml:space="preserve">Min Price (₹)</t>
  </si>
  <si>
    <t xml:space="preserve">Max Price (₹)</t>
  </si>
  <si>
    <t xml:space="preserve">Avg Price (₹)</t>
  </si>
  <si>
    <t xml:space="preserve">Total (₹)</t>
  </si>
  <si>
    <t xml:space="preserve">SKILL WORKSHOPS — PHASE 1 (Top 6 priority units)</t>
  </si>
  <si>
    <t xml:space="preserve">Healthcare &amp; Nursing workshop setup</t>
  </si>
  <si>
    <t xml:space="preserve">Patient dummy ×2; diagnostic kit; nursing bed ×4; BP monitors ×10; stethoscopes ×15</t>
  </si>
  <si>
    <t xml:space="preserve">1</t>
  </si>
  <si>
    <t xml:space="preserve">set</t>
  </si>
  <si>
    <t xml:space="preserve">Construction, Plumbing &amp; Electrical workshop</t>
  </si>
  <si>
    <t xml:space="preserve">PVC/CPVC practice sets; wiring boards ×10; hand tools ×15; safety kit; conduit board</t>
  </si>
  <si>
    <t xml:space="preserve">Hospitality / Food Service — Demo Kitchen</t>
  </si>
  <si>
    <t xml:space="preserve">Commercial range ×4; tilting pan ×2; steamer ×2; cold room; freezer ×3; dishwasher; exhaust</t>
  </si>
  <si>
    <t xml:space="preserve">Beauty / Salon training unit</t>
  </si>
  <si>
    <t xml:space="preserve">6 styling stations + chairs + mirrors; shampoo stations ×3; hair dryers ×10; wax kit; skin care; manicure/pedicure</t>
  </si>
  <si>
    <t xml:space="preserve">IT &amp; Software lab (shared with Software Park)</t>
  </si>
  <si>
    <t xml:space="preserve">30 desktops i5; networking training lab: switches + routers + patch panels</t>
  </si>
  <si>
    <t xml:space="preserve">Automotive / Mechanical (EV/2-wheeler)</t>
  </si>
  <si>
    <t xml:space="preserve">Practice 2-wheeler; engine model; tool kits ×15; engine stand; multimeter ×5; tyre machine; EV battery module</t>
  </si>
  <si>
    <t xml:space="preserve">Handicrafts / Textiles workshop</t>
  </si>
  <si>
    <t xml:space="preserve">Industrial sewing machines ×10; overlock ×2; screen print unit; design workstations ×5; embroidery frames ×15</t>
  </si>
  <si>
    <t xml:space="preserve">Media / Photography / Video studio</t>
  </si>
  <si>
    <t xml:space="preserve">DSLR cameras ×5; studio lighting; editing workstations ×5; green screen; tripods; audio recording kit</t>
  </si>
  <si>
    <t xml:space="preserve">Agriculture / Horticulture tools</t>
  </si>
  <si>
    <t xml:space="preserve">Sprayers ×5; hand tool kits ×20; soil testing kit; grafting tools; composting bin; drip irrigation demo</t>
  </si>
  <si>
    <t xml:space="preserve">Security Services training area</t>
  </si>
  <si>
    <t xml:space="preserve">Rubber mat 50 sq mt; uniforms ×20; first aid kit; walkie-talkies ×10; CCTV training station</t>
  </si>
  <si>
    <t xml:space="preserve">Phase 2–3 units (7 units avg ₹2L each)</t>
  </si>
  <si>
    <t xml:space="preserve">Standard workshop setup per unit</t>
  </si>
  <si>
    <t xml:space="preserve">7</t>
  </si>
  <si>
    <t xml:space="preserve">units</t>
  </si>
  <si>
    <t xml:space="preserve">SUBTOTAL — SKILL WORKSHOPS — PHASE 1 (Top 6 priorit</t>
  </si>
  <si>
    <t xml:space="preserve">SKILL STUDENT HOSTEL FURNITURE (225 students)</t>
  </si>
  <si>
    <t xml:space="preserve">Hostel bunk bed (2-tier, MS pipe powder coated)</t>
  </si>
  <si>
    <t xml:space="preserve">3 ft × 6 ft; 100 kg rated; 2-tier</t>
  </si>
  <si>
    <t xml:space="preserve">113</t>
  </si>
  <si>
    <t xml:space="preserve">Student wardrobe (steel lockable)</t>
  </si>
  <si>
    <t xml:space="preserve">3 shelves; lockable; 18-inch per student</t>
  </si>
  <si>
    <t xml:space="preserve">225</t>
  </si>
  <si>
    <t xml:space="preserve">Study desk + ergonomic chair per student</t>
  </si>
  <si>
    <t xml:space="preserve">36 × 18 desk; ergonomic chair; book shelf</t>
  </si>
  <si>
    <t xml:space="preserve">sets</t>
  </si>
  <si>
    <t xml:space="preserve">Common room furniture (per block of 50 students)</t>
  </si>
  <si>
    <t xml:space="preserve">Sofa ×3; 55" TV; indoor games table; side tables</t>
  </si>
  <si>
    <t xml:space="preserve">5</t>
  </si>
  <si>
    <t xml:space="preserve">Commercial washing machines (1 per 25 students)</t>
  </si>
  <si>
    <t xml:space="preserve">Front-load 12 kg commercial grade</t>
  </si>
  <si>
    <t xml:space="preserve">9</t>
  </si>
  <si>
    <t xml:space="preserve">SUBTOTAL — SKILL STUDENT HOSTEL FURNITURE (225 stud</t>
  </si>
  <si>
    <t xml:space="preserve">SOFTWARE DEVELOPMENT PARK FIT-OUT (30 workstations)</t>
  </si>
  <si>
    <t xml:space="preserve">Developer workstation i7 + dual 27" monitors</t>
  </si>
  <si>
    <t xml:space="preserve">Intel Core i7 13th Gen; 32GB RAM; 1TB SSD; Win 11 Pro; dual monitor</t>
  </si>
  <si>
    <t xml:space="preserve">30</t>
  </si>
  <si>
    <t xml:space="preserve">Ergonomic developer chair</t>
  </si>
  <si>
    <t xml:space="preserve">Mesh; lumbar support; adj armrests; class 4 gas lift</t>
  </si>
  <si>
    <t xml:space="preserve">Height-adjustable sit-stand desk (electric)</t>
  </si>
  <si>
    <t xml:space="preserve">Electric; memory presets; cable management; 60W×30D</t>
  </si>
  <si>
    <t xml:space="preserve">Large meeting room AV (75-inch + VC)</t>
  </si>
  <si>
    <t xml:space="preserve">75" 4K display + PTZ VC camera + speaker + wireless mic</t>
  </si>
  <si>
    <t xml:space="preserve">Small meeting room AV</t>
  </si>
  <si>
    <t xml:space="preserve">55" display + HDMI switch + whiteboard</t>
  </si>
  <si>
    <t xml:space="preserve">Server rack (42U) + PDU + patch panel</t>
  </si>
  <si>
    <t xml:space="preserve">42U rack + 30A PDU + 48-port panel + cable mgmt</t>
  </si>
  <si>
    <t xml:space="preserve">2</t>
  </si>
  <si>
    <t xml:space="preserve">Online UPS (20 KVA) for workstations</t>
  </si>
  <si>
    <t xml:space="preserve">Online UPS; 30 min battery for 30 workstations</t>
  </si>
  <si>
    <t xml:space="preserve">unit</t>
  </si>
  <si>
    <t xml:space="preserve">Precision AC for server room (N+1)</t>
  </si>
  <si>
    <t xml:space="preserve">Close-control 1.5-ton; N+1 redundancy</t>
  </si>
  <si>
    <t xml:space="preserve">Clean agent fire suppression (server room)</t>
  </si>
  <si>
    <t xml:space="preserve">FM-200 or Novec 1230 fixed system</t>
  </si>
  <si>
    <t xml:space="preserve">system</t>
  </si>
  <si>
    <t xml:space="preserve">500 Mbps leased line (annual)</t>
  </si>
  <si>
    <t xml:space="preserve">Dedicated leased line; dual ISP; SLA-backed</t>
  </si>
  <si>
    <t xml:space="preserve">year</t>
  </si>
  <si>
    <t xml:space="preserve">SUBTOTAL — SOFTWARE DEVELOPMENT PARK FIT-OUT (30 wo</t>
  </si>
  <si>
    <t xml:space="preserve">GRAND TOTAL — SKILL CAMPUS FIT-OUT</t>
  </si>
  <si>
    <t xml:space="preserve">Contingency (10%)</t>
  </si>
  <si>
    <t xml:space="preserve">TOTAL WITH CONTINGENCY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</si>
</sst>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74F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695C"/>
        <bgColor rgb="FF008080"/>
      </patternFill>
    </fill>
    <fill>
      <patternFill patternType="solid">
        <fgColor rgb="FFFFF8E1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FFF9C4"/>
        <bgColor rgb="FFFFF8E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00695C"/>
      </left>
      <right/>
      <top style="medium">
        <color rgb="FF00695C"/>
      </top>
      <bottom style="medium">
        <color rgb="FF00695C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8E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237E"/>
      <rgbColor rgb="FF339966"/>
      <rgbColor rgb="FF003300"/>
      <rgbColor rgb="FF333300"/>
      <rgbColor rgb="FF993300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2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6" hidden="false" customHeight="true" outlineLevel="0" collapsed="false"/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21.75" hidden="false" customHeight="true" outlineLevel="0" collapsed="false">
      <c r="A5" s="5" t="s">
        <v>8</v>
      </c>
      <c r="B5" s="5" t="n">
        <v>24700</v>
      </c>
      <c r="C5" s="5" t="s">
        <v>9</v>
      </c>
      <c r="D5" s="6" t="n">
        <v>2500</v>
      </c>
      <c r="E5" s="6" t="n">
        <f aca="false">B5*D5</f>
        <v>61750000</v>
      </c>
      <c r="F5" s="5" t="s">
        <v>10</v>
      </c>
    </row>
    <row r="6" customFormat="false" ht="21.75" hidden="false" customHeight="true" outlineLevel="0" collapsed="false">
      <c r="A6" s="7" t="s">
        <v>11</v>
      </c>
      <c r="B6" s="7" t="n">
        <v>25000</v>
      </c>
      <c r="C6" s="7" t="s">
        <v>9</v>
      </c>
      <c r="D6" s="8" t="n">
        <v>500</v>
      </c>
      <c r="E6" s="8" t="n">
        <f aca="false">B6*D6</f>
        <v>12500000</v>
      </c>
      <c r="F6" s="7" t="s">
        <v>12</v>
      </c>
    </row>
    <row r="7" customFormat="false" ht="21.75" hidden="false" customHeight="true" outlineLevel="0" collapsed="false">
      <c r="A7" s="5" t="s">
        <v>13</v>
      </c>
      <c r="B7" s="5" t="n">
        <v>3000</v>
      </c>
      <c r="C7" s="5" t="s">
        <v>9</v>
      </c>
      <c r="D7" s="6" t="n">
        <v>2500</v>
      </c>
      <c r="E7" s="6" t="n">
        <f aca="false">B7*D7</f>
        <v>7500000</v>
      </c>
      <c r="F7" s="5" t="s">
        <v>14</v>
      </c>
    </row>
    <row r="8" customFormat="false" ht="21.75" hidden="false" customHeight="true" outlineLevel="0" collapsed="false">
      <c r="A8" s="7" t="s">
        <v>15</v>
      </c>
      <c r="B8" s="7" t="n">
        <v>1</v>
      </c>
      <c r="C8" s="7" t="s">
        <v>16</v>
      </c>
      <c r="D8" s="8" t="n">
        <v>25000000</v>
      </c>
      <c r="E8" s="8" t="n">
        <f aca="false">B8*D8</f>
        <v>25000000</v>
      </c>
      <c r="F8" s="7" t="s">
        <v>17</v>
      </c>
    </row>
    <row r="9" customFormat="false" ht="21.75" hidden="false" customHeight="true" outlineLevel="0" collapsed="false">
      <c r="A9" s="5" t="s">
        <v>18</v>
      </c>
      <c r="B9" s="5" t="n">
        <v>1</v>
      </c>
      <c r="C9" s="5" t="s">
        <v>16</v>
      </c>
      <c r="D9" s="6" t="n">
        <v>7500000</v>
      </c>
      <c r="E9" s="6" t="n">
        <f aca="false">B9*D9</f>
        <v>7500000</v>
      </c>
      <c r="F9" s="5" t="s">
        <v>19</v>
      </c>
    </row>
    <row r="10" customFormat="false" ht="21.75" hidden="false" customHeight="true" outlineLevel="0" collapsed="false">
      <c r="A10" s="7" t="s">
        <v>20</v>
      </c>
      <c r="B10" s="7" t="n">
        <v>1</v>
      </c>
      <c r="C10" s="7" t="s">
        <v>16</v>
      </c>
      <c r="D10" s="8" t="n">
        <v>2500000</v>
      </c>
      <c r="E10" s="8" t="n">
        <f aca="false">B10*D10</f>
        <v>2500000</v>
      </c>
      <c r="F10" s="7" t="s">
        <v>21</v>
      </c>
    </row>
    <row r="11" customFormat="false" ht="21.75" hidden="false" customHeight="true" outlineLevel="0" collapsed="false">
      <c r="A11" s="9" t="s">
        <v>22</v>
      </c>
      <c r="B11" s="9"/>
      <c r="C11" s="9"/>
      <c r="D11" s="9"/>
      <c r="E11" s="10" t="n">
        <f aca="false">SUM(E5:E10)</f>
        <v>116750000</v>
      </c>
      <c r="F11" s="9" t="s">
        <v>23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4" min="3" style="1" width="8"/>
    <col collapsed="false" customWidth="true" hidden="false" outlineLevel="0" max="7" min="5" style="1" width="14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2" t="s">
        <v>24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3" t="s">
        <v>25</v>
      </c>
      <c r="B2" s="3"/>
      <c r="C2" s="3"/>
      <c r="D2" s="3"/>
      <c r="E2" s="3"/>
      <c r="F2" s="3"/>
      <c r="G2" s="3"/>
      <c r="H2" s="3"/>
    </row>
    <row r="3" customFormat="false" ht="6" hidden="false" customHeight="true" outlineLevel="0" collapsed="false"/>
    <row r="4" customFormat="false" ht="15" hidden="false" customHeight="true" outlineLevel="0" collapsed="false">
      <c r="A4" s="4" t="s">
        <v>26</v>
      </c>
      <c r="B4" s="4" t="s">
        <v>27</v>
      </c>
      <c r="C4" s="4" t="s">
        <v>28</v>
      </c>
      <c r="D4" s="4" t="s">
        <v>4</v>
      </c>
      <c r="E4" s="4" t="s">
        <v>29</v>
      </c>
      <c r="F4" s="4" t="s">
        <v>30</v>
      </c>
      <c r="G4" s="4" t="s">
        <v>31</v>
      </c>
      <c r="H4" s="4" t="s">
        <v>32</v>
      </c>
    </row>
    <row r="5" customFormat="false" ht="19.5" hidden="false" customHeight="true" outlineLevel="0" collapsed="false">
      <c r="A5" s="11" t="s">
        <v>33</v>
      </c>
      <c r="B5" s="11"/>
      <c r="C5" s="11"/>
      <c r="D5" s="11"/>
      <c r="E5" s="11"/>
      <c r="F5" s="11"/>
      <c r="G5" s="11"/>
      <c r="H5" s="11"/>
    </row>
    <row r="6" customFormat="false" ht="21.75" hidden="false" customHeight="true" outlineLevel="0" collapsed="false">
      <c r="A6" s="7" t="s">
        <v>34</v>
      </c>
      <c r="B6" s="7" t="s">
        <v>35</v>
      </c>
      <c r="C6" s="7" t="s">
        <v>36</v>
      </c>
      <c r="D6" s="7" t="s">
        <v>37</v>
      </c>
      <c r="E6" s="8" t="n">
        <v>300000</v>
      </c>
      <c r="F6" s="8" t="n">
        <v>500000</v>
      </c>
      <c r="G6" s="8" t="n">
        <f aca="false">(E6+F6)/2</f>
        <v>400000</v>
      </c>
      <c r="H6" s="8" t="n">
        <f aca="false">G6*C6</f>
        <v>400000</v>
      </c>
    </row>
    <row r="7" customFormat="false" ht="21.75" hidden="false" customHeight="true" outlineLevel="0" collapsed="false">
      <c r="A7" s="5" t="s">
        <v>38</v>
      </c>
      <c r="B7" s="5" t="s">
        <v>39</v>
      </c>
      <c r="C7" s="5" t="s">
        <v>36</v>
      </c>
      <c r="D7" s="5" t="s">
        <v>37</v>
      </c>
      <c r="E7" s="6" t="n">
        <v>200000</v>
      </c>
      <c r="F7" s="6" t="n">
        <v>400000</v>
      </c>
      <c r="G7" s="6" t="n">
        <f aca="false">(E7+F7)/2</f>
        <v>300000</v>
      </c>
      <c r="H7" s="6" t="n">
        <f aca="false">G7*C7</f>
        <v>300000</v>
      </c>
    </row>
    <row r="8" customFormat="false" ht="21.75" hidden="false" customHeight="true" outlineLevel="0" collapsed="false">
      <c r="A8" s="7" t="s">
        <v>40</v>
      </c>
      <c r="B8" s="7" t="s">
        <v>41</v>
      </c>
      <c r="C8" s="7" t="s">
        <v>36</v>
      </c>
      <c r="D8" s="7" t="s">
        <v>37</v>
      </c>
      <c r="E8" s="8" t="n">
        <v>500000</v>
      </c>
      <c r="F8" s="8" t="n">
        <v>800000</v>
      </c>
      <c r="G8" s="8" t="n">
        <f aca="false">(E8+F8)/2</f>
        <v>650000</v>
      </c>
      <c r="H8" s="8" t="n">
        <f aca="false">G8*C8</f>
        <v>650000</v>
      </c>
    </row>
    <row r="9" customFormat="false" ht="21.75" hidden="false" customHeight="true" outlineLevel="0" collapsed="false">
      <c r="A9" s="5" t="s">
        <v>42</v>
      </c>
      <c r="B9" s="5" t="s">
        <v>43</v>
      </c>
      <c r="C9" s="5" t="s">
        <v>36</v>
      </c>
      <c r="D9" s="5" t="s">
        <v>37</v>
      </c>
      <c r="E9" s="6" t="n">
        <v>400000</v>
      </c>
      <c r="F9" s="6" t="n">
        <v>700000</v>
      </c>
      <c r="G9" s="6" t="n">
        <f aca="false">(E9+F9)/2</f>
        <v>550000</v>
      </c>
      <c r="H9" s="6" t="n">
        <f aca="false">G9*C9</f>
        <v>550000</v>
      </c>
    </row>
    <row r="10" customFormat="false" ht="21.75" hidden="false" customHeight="true" outlineLevel="0" collapsed="false">
      <c r="A10" s="7" t="s">
        <v>44</v>
      </c>
      <c r="B10" s="7" t="s">
        <v>45</v>
      </c>
      <c r="C10" s="7" t="s">
        <v>36</v>
      </c>
      <c r="D10" s="7" t="s">
        <v>37</v>
      </c>
      <c r="E10" s="8" t="n">
        <v>800000</v>
      </c>
      <c r="F10" s="8" t="n">
        <v>1200000</v>
      </c>
      <c r="G10" s="8" t="n">
        <f aca="false">(E10+F10)/2</f>
        <v>1000000</v>
      </c>
      <c r="H10" s="8" t="n">
        <f aca="false">G10*C10</f>
        <v>1000000</v>
      </c>
    </row>
    <row r="11" customFormat="false" ht="21.75" hidden="false" customHeight="true" outlineLevel="0" collapsed="false">
      <c r="A11" s="5" t="s">
        <v>46</v>
      </c>
      <c r="B11" s="5" t="s">
        <v>47</v>
      </c>
      <c r="C11" s="5" t="s">
        <v>36</v>
      </c>
      <c r="D11" s="5" t="s">
        <v>37</v>
      </c>
      <c r="E11" s="6" t="n">
        <v>300000</v>
      </c>
      <c r="F11" s="6" t="n">
        <v>600000</v>
      </c>
      <c r="G11" s="6" t="n">
        <f aca="false">(E11+F11)/2</f>
        <v>450000</v>
      </c>
      <c r="H11" s="6" t="n">
        <f aca="false">G11*C11</f>
        <v>450000</v>
      </c>
    </row>
    <row r="12" customFormat="false" ht="21.75" hidden="false" customHeight="true" outlineLevel="0" collapsed="false">
      <c r="A12" s="7" t="s">
        <v>48</v>
      </c>
      <c r="B12" s="7" t="s">
        <v>49</v>
      </c>
      <c r="C12" s="7" t="s">
        <v>36</v>
      </c>
      <c r="D12" s="7" t="s">
        <v>37</v>
      </c>
      <c r="E12" s="8" t="n">
        <v>250000</v>
      </c>
      <c r="F12" s="8" t="n">
        <v>500000</v>
      </c>
      <c r="G12" s="8" t="n">
        <f aca="false">(E12+F12)/2</f>
        <v>375000</v>
      </c>
      <c r="H12" s="8" t="n">
        <f aca="false">G12*C12</f>
        <v>375000</v>
      </c>
    </row>
    <row r="13" customFormat="false" ht="21.75" hidden="false" customHeight="true" outlineLevel="0" collapsed="false">
      <c r="A13" s="5" t="s">
        <v>50</v>
      </c>
      <c r="B13" s="5" t="s">
        <v>51</v>
      </c>
      <c r="C13" s="5" t="s">
        <v>36</v>
      </c>
      <c r="D13" s="5" t="s">
        <v>37</v>
      </c>
      <c r="E13" s="6" t="n">
        <v>400000</v>
      </c>
      <c r="F13" s="6" t="n">
        <v>800000</v>
      </c>
      <c r="G13" s="6" t="n">
        <f aca="false">(E13+F13)/2</f>
        <v>600000</v>
      </c>
      <c r="H13" s="6" t="n">
        <f aca="false">G13*C13</f>
        <v>600000</v>
      </c>
    </row>
    <row r="14" customFormat="false" ht="21.75" hidden="false" customHeight="true" outlineLevel="0" collapsed="false">
      <c r="A14" s="7" t="s">
        <v>52</v>
      </c>
      <c r="B14" s="7" t="s">
        <v>53</v>
      </c>
      <c r="C14" s="7" t="s">
        <v>36</v>
      </c>
      <c r="D14" s="7" t="s">
        <v>37</v>
      </c>
      <c r="E14" s="8" t="n">
        <v>150000</v>
      </c>
      <c r="F14" s="8" t="n">
        <v>300000</v>
      </c>
      <c r="G14" s="8" t="n">
        <f aca="false">(E14+F14)/2</f>
        <v>225000</v>
      </c>
      <c r="H14" s="8" t="n">
        <f aca="false">G14*C14</f>
        <v>225000</v>
      </c>
    </row>
    <row r="15" customFormat="false" ht="21.75" hidden="false" customHeight="true" outlineLevel="0" collapsed="false">
      <c r="A15" s="5" t="s">
        <v>54</v>
      </c>
      <c r="B15" s="5" t="s">
        <v>55</v>
      </c>
      <c r="C15" s="5" t="s">
        <v>36</v>
      </c>
      <c r="D15" s="5" t="s">
        <v>37</v>
      </c>
      <c r="E15" s="6" t="n">
        <v>150000</v>
      </c>
      <c r="F15" s="6" t="n">
        <v>250000</v>
      </c>
      <c r="G15" s="6" t="n">
        <f aca="false">(E15+F15)/2</f>
        <v>200000</v>
      </c>
      <c r="H15" s="6" t="n">
        <f aca="false">G15*C15</f>
        <v>200000</v>
      </c>
    </row>
    <row r="16" customFormat="false" ht="21.75" hidden="false" customHeight="true" outlineLevel="0" collapsed="false">
      <c r="A16" s="7" t="s">
        <v>56</v>
      </c>
      <c r="B16" s="7" t="s">
        <v>57</v>
      </c>
      <c r="C16" s="7" t="s">
        <v>58</v>
      </c>
      <c r="D16" s="7" t="s">
        <v>59</v>
      </c>
      <c r="E16" s="8" t="n">
        <v>150000</v>
      </c>
      <c r="F16" s="8" t="n">
        <v>300000</v>
      </c>
      <c r="G16" s="8" t="n">
        <f aca="false">(E16+F16)/2</f>
        <v>225000</v>
      </c>
      <c r="H16" s="8" t="n">
        <f aca="false">G16*C16</f>
        <v>1575000</v>
      </c>
    </row>
    <row r="17" customFormat="false" ht="21.75" hidden="false" customHeight="true" outlineLevel="0" collapsed="false">
      <c r="A17" s="9" t="s">
        <v>60</v>
      </c>
      <c r="B17" s="9"/>
      <c r="C17" s="9"/>
      <c r="D17" s="9"/>
      <c r="E17" s="9"/>
      <c r="F17" s="9"/>
      <c r="G17" s="9"/>
      <c r="H17" s="10" t="n">
        <f aca="false">SUM(H6:H16)</f>
        <v>6325000</v>
      </c>
    </row>
    <row r="19" customFormat="false" ht="19.5" hidden="false" customHeight="true" outlineLevel="0" collapsed="false">
      <c r="A19" s="11" t="s">
        <v>61</v>
      </c>
      <c r="B19" s="11"/>
      <c r="C19" s="11"/>
      <c r="D19" s="11"/>
      <c r="E19" s="11"/>
      <c r="F19" s="11"/>
      <c r="G19" s="11"/>
      <c r="H19" s="11"/>
    </row>
    <row r="20" customFormat="false" ht="21.75" hidden="false" customHeight="true" outlineLevel="0" collapsed="false">
      <c r="A20" s="7" t="s">
        <v>62</v>
      </c>
      <c r="B20" s="7" t="s">
        <v>63</v>
      </c>
      <c r="C20" s="7" t="s">
        <v>64</v>
      </c>
      <c r="D20" s="7" t="s">
        <v>59</v>
      </c>
      <c r="E20" s="8" t="n">
        <v>6000</v>
      </c>
      <c r="F20" s="8" t="n">
        <v>9000</v>
      </c>
      <c r="G20" s="8" t="n">
        <f aca="false">(E20+F20)/2</f>
        <v>7500</v>
      </c>
      <c r="H20" s="8" t="n">
        <f aca="false">G20*C20</f>
        <v>847500</v>
      </c>
    </row>
    <row r="21" customFormat="false" ht="21.75" hidden="false" customHeight="true" outlineLevel="0" collapsed="false">
      <c r="A21" s="5" t="s">
        <v>65</v>
      </c>
      <c r="B21" s="5" t="s">
        <v>66</v>
      </c>
      <c r="C21" s="5" t="s">
        <v>67</v>
      </c>
      <c r="D21" s="5" t="s">
        <v>59</v>
      </c>
      <c r="E21" s="6" t="n">
        <v>4000</v>
      </c>
      <c r="F21" s="6" t="n">
        <v>5500</v>
      </c>
      <c r="G21" s="6" t="n">
        <f aca="false">(E21+F21)/2</f>
        <v>4750</v>
      </c>
      <c r="H21" s="6" t="n">
        <f aca="false">G21*C21</f>
        <v>1068750</v>
      </c>
    </row>
    <row r="22" customFormat="false" ht="21.75" hidden="false" customHeight="true" outlineLevel="0" collapsed="false">
      <c r="A22" s="7" t="s">
        <v>68</v>
      </c>
      <c r="B22" s="7" t="s">
        <v>69</v>
      </c>
      <c r="C22" s="7" t="s">
        <v>67</v>
      </c>
      <c r="D22" s="7" t="s">
        <v>70</v>
      </c>
      <c r="E22" s="8" t="n">
        <v>4000</v>
      </c>
      <c r="F22" s="8" t="n">
        <v>5500</v>
      </c>
      <c r="G22" s="8" t="n">
        <f aca="false">(E22+F22)/2</f>
        <v>4750</v>
      </c>
      <c r="H22" s="8" t="n">
        <f aca="false">G22*C22</f>
        <v>1068750</v>
      </c>
    </row>
    <row r="23" customFormat="false" ht="21.75" hidden="false" customHeight="true" outlineLevel="0" collapsed="false">
      <c r="A23" s="5" t="s">
        <v>71</v>
      </c>
      <c r="B23" s="5" t="s">
        <v>72</v>
      </c>
      <c r="C23" s="5" t="s">
        <v>73</v>
      </c>
      <c r="D23" s="5" t="s">
        <v>70</v>
      </c>
      <c r="E23" s="6" t="n">
        <v>40000</v>
      </c>
      <c r="F23" s="6" t="n">
        <v>55000</v>
      </c>
      <c r="G23" s="6" t="n">
        <f aca="false">(E23+F23)/2</f>
        <v>47500</v>
      </c>
      <c r="H23" s="6" t="n">
        <f aca="false">G23*C23</f>
        <v>237500</v>
      </c>
    </row>
    <row r="24" customFormat="false" ht="21.75" hidden="false" customHeight="true" outlineLevel="0" collapsed="false">
      <c r="A24" s="7" t="s">
        <v>74</v>
      </c>
      <c r="B24" s="7" t="s">
        <v>75</v>
      </c>
      <c r="C24" s="7" t="s">
        <v>76</v>
      </c>
      <c r="D24" s="7" t="s">
        <v>59</v>
      </c>
      <c r="E24" s="8" t="n">
        <v>50000</v>
      </c>
      <c r="F24" s="8" t="n">
        <v>70000</v>
      </c>
      <c r="G24" s="8" t="n">
        <f aca="false">(E24+F24)/2</f>
        <v>60000</v>
      </c>
      <c r="H24" s="8" t="n">
        <f aca="false">G24*C24</f>
        <v>540000</v>
      </c>
    </row>
    <row r="25" customFormat="false" ht="21.75" hidden="false" customHeight="true" outlineLevel="0" collapsed="false">
      <c r="A25" s="9" t="s">
        <v>77</v>
      </c>
      <c r="B25" s="9"/>
      <c r="C25" s="9"/>
      <c r="D25" s="9"/>
      <c r="E25" s="9"/>
      <c r="F25" s="9"/>
      <c r="G25" s="9"/>
      <c r="H25" s="10" t="n">
        <f aca="false">SUM(H20:H24)</f>
        <v>3762500</v>
      </c>
    </row>
    <row r="27" customFormat="false" ht="19.5" hidden="false" customHeight="true" outlineLevel="0" collapsed="false">
      <c r="A27" s="11" t="s">
        <v>78</v>
      </c>
      <c r="B27" s="11"/>
      <c r="C27" s="11"/>
      <c r="D27" s="11"/>
      <c r="E27" s="11"/>
      <c r="F27" s="11"/>
      <c r="G27" s="11"/>
      <c r="H27" s="11"/>
    </row>
    <row r="28" customFormat="false" ht="21.75" hidden="false" customHeight="true" outlineLevel="0" collapsed="false">
      <c r="A28" s="7" t="s">
        <v>79</v>
      </c>
      <c r="B28" s="7" t="s">
        <v>80</v>
      </c>
      <c r="C28" s="7" t="s">
        <v>81</v>
      </c>
      <c r="D28" s="7" t="s">
        <v>59</v>
      </c>
      <c r="E28" s="8" t="n">
        <v>80000</v>
      </c>
      <c r="F28" s="8" t="n">
        <v>110000</v>
      </c>
      <c r="G28" s="8" t="n">
        <f aca="false">(E28+F28)/2</f>
        <v>95000</v>
      </c>
      <c r="H28" s="8" t="n">
        <f aca="false">G28*C28</f>
        <v>2850000</v>
      </c>
    </row>
    <row r="29" customFormat="false" ht="21.75" hidden="false" customHeight="true" outlineLevel="0" collapsed="false">
      <c r="A29" s="5" t="s">
        <v>82</v>
      </c>
      <c r="B29" s="5" t="s">
        <v>83</v>
      </c>
      <c r="C29" s="5" t="s">
        <v>81</v>
      </c>
      <c r="D29" s="5" t="s">
        <v>59</v>
      </c>
      <c r="E29" s="6" t="n">
        <v>6000</v>
      </c>
      <c r="F29" s="6" t="n">
        <v>12000</v>
      </c>
      <c r="G29" s="6" t="n">
        <f aca="false">(E29+F29)/2</f>
        <v>9000</v>
      </c>
      <c r="H29" s="6" t="n">
        <f aca="false">G29*C29</f>
        <v>270000</v>
      </c>
    </row>
    <row r="30" customFormat="false" ht="21.75" hidden="false" customHeight="true" outlineLevel="0" collapsed="false">
      <c r="A30" s="7" t="s">
        <v>84</v>
      </c>
      <c r="B30" s="7" t="s">
        <v>85</v>
      </c>
      <c r="C30" s="7" t="s">
        <v>81</v>
      </c>
      <c r="D30" s="7" t="s">
        <v>59</v>
      </c>
      <c r="E30" s="8" t="n">
        <v>12000</v>
      </c>
      <c r="F30" s="8" t="n">
        <v>20000</v>
      </c>
      <c r="G30" s="8" t="n">
        <f aca="false">(E30+F30)/2</f>
        <v>16000</v>
      </c>
      <c r="H30" s="8" t="n">
        <f aca="false">G30*C30</f>
        <v>480000</v>
      </c>
    </row>
    <row r="31" customFormat="false" ht="21.75" hidden="false" customHeight="true" outlineLevel="0" collapsed="false">
      <c r="A31" s="5" t="s">
        <v>86</v>
      </c>
      <c r="B31" s="5" t="s">
        <v>87</v>
      </c>
      <c r="C31" s="5" t="s">
        <v>36</v>
      </c>
      <c r="D31" s="5" t="s">
        <v>37</v>
      </c>
      <c r="E31" s="6" t="n">
        <v>120000</v>
      </c>
      <c r="F31" s="6" t="n">
        <v>180000</v>
      </c>
      <c r="G31" s="6" t="n">
        <f aca="false">(E31+F31)/2</f>
        <v>150000</v>
      </c>
      <c r="H31" s="6" t="n">
        <f aca="false">G31*C31</f>
        <v>150000</v>
      </c>
    </row>
    <row r="32" customFormat="false" ht="21.75" hidden="false" customHeight="true" outlineLevel="0" collapsed="false">
      <c r="A32" s="7" t="s">
        <v>88</v>
      </c>
      <c r="B32" s="7" t="s">
        <v>89</v>
      </c>
      <c r="C32" s="7" t="s">
        <v>36</v>
      </c>
      <c r="D32" s="7" t="s">
        <v>37</v>
      </c>
      <c r="E32" s="8" t="n">
        <v>50000</v>
      </c>
      <c r="F32" s="8" t="n">
        <v>80000</v>
      </c>
      <c r="G32" s="8" t="n">
        <f aca="false">(E32+F32)/2</f>
        <v>65000</v>
      </c>
      <c r="H32" s="8" t="n">
        <f aca="false">G32*C32</f>
        <v>65000</v>
      </c>
    </row>
    <row r="33" customFormat="false" ht="21.75" hidden="false" customHeight="true" outlineLevel="0" collapsed="false">
      <c r="A33" s="5" t="s">
        <v>90</v>
      </c>
      <c r="B33" s="5" t="s">
        <v>91</v>
      </c>
      <c r="C33" s="5" t="s">
        <v>92</v>
      </c>
      <c r="D33" s="5" t="s">
        <v>59</v>
      </c>
      <c r="E33" s="6" t="n">
        <v>35000</v>
      </c>
      <c r="F33" s="6" t="n">
        <v>50000</v>
      </c>
      <c r="G33" s="6" t="n">
        <f aca="false">(E33+F33)/2</f>
        <v>42500</v>
      </c>
      <c r="H33" s="6" t="n">
        <f aca="false">G33*C33</f>
        <v>85000</v>
      </c>
    </row>
    <row r="34" customFormat="false" ht="21.75" hidden="false" customHeight="true" outlineLevel="0" collapsed="false">
      <c r="A34" s="7" t="s">
        <v>93</v>
      </c>
      <c r="B34" s="7" t="s">
        <v>94</v>
      </c>
      <c r="C34" s="7" t="s">
        <v>36</v>
      </c>
      <c r="D34" s="7" t="s">
        <v>95</v>
      </c>
      <c r="E34" s="8" t="n">
        <v>200000</v>
      </c>
      <c r="F34" s="8" t="n">
        <v>300000</v>
      </c>
      <c r="G34" s="8" t="n">
        <f aca="false">(E34+F34)/2</f>
        <v>250000</v>
      </c>
      <c r="H34" s="8" t="n">
        <f aca="false">G34*C34</f>
        <v>250000</v>
      </c>
    </row>
    <row r="35" customFormat="false" ht="21.75" hidden="false" customHeight="true" outlineLevel="0" collapsed="false">
      <c r="A35" s="5" t="s">
        <v>96</v>
      </c>
      <c r="B35" s="5" t="s">
        <v>97</v>
      </c>
      <c r="C35" s="5" t="s">
        <v>92</v>
      </c>
      <c r="D35" s="5" t="s">
        <v>59</v>
      </c>
      <c r="E35" s="6" t="n">
        <v>120000</v>
      </c>
      <c r="F35" s="6" t="n">
        <v>200000</v>
      </c>
      <c r="G35" s="6" t="n">
        <f aca="false">(E35+F35)/2</f>
        <v>160000</v>
      </c>
      <c r="H35" s="6" t="n">
        <f aca="false">G35*C35</f>
        <v>320000</v>
      </c>
    </row>
    <row r="36" customFormat="false" ht="21.75" hidden="false" customHeight="true" outlineLevel="0" collapsed="false">
      <c r="A36" s="7" t="s">
        <v>98</v>
      </c>
      <c r="B36" s="7" t="s">
        <v>99</v>
      </c>
      <c r="C36" s="7" t="s">
        <v>36</v>
      </c>
      <c r="D36" s="7" t="s">
        <v>100</v>
      </c>
      <c r="E36" s="8" t="n">
        <v>200000</v>
      </c>
      <c r="F36" s="8" t="n">
        <v>350000</v>
      </c>
      <c r="G36" s="8" t="n">
        <f aca="false">(E36+F36)/2</f>
        <v>275000</v>
      </c>
      <c r="H36" s="8" t="n">
        <f aca="false">G36*C36</f>
        <v>275000</v>
      </c>
    </row>
    <row r="37" customFormat="false" ht="21.75" hidden="false" customHeight="true" outlineLevel="0" collapsed="false">
      <c r="A37" s="5" t="s">
        <v>101</v>
      </c>
      <c r="B37" s="5" t="s">
        <v>102</v>
      </c>
      <c r="C37" s="5" t="s">
        <v>36</v>
      </c>
      <c r="D37" s="5" t="s">
        <v>103</v>
      </c>
      <c r="E37" s="6" t="n">
        <v>350000</v>
      </c>
      <c r="F37" s="6" t="n">
        <v>500000</v>
      </c>
      <c r="G37" s="6" t="n">
        <f aca="false">(E37+F37)/2</f>
        <v>425000</v>
      </c>
      <c r="H37" s="6" t="n">
        <f aca="false">G37*C37</f>
        <v>425000</v>
      </c>
    </row>
    <row r="38" customFormat="false" ht="21.75" hidden="false" customHeight="true" outlineLevel="0" collapsed="false">
      <c r="A38" s="9" t="s">
        <v>104</v>
      </c>
      <c r="B38" s="9"/>
      <c r="C38" s="9"/>
      <c r="D38" s="9"/>
      <c r="E38" s="9"/>
      <c r="F38" s="9"/>
      <c r="G38" s="9"/>
      <c r="H38" s="10" t="n">
        <f aca="false">SUM(H28:H37)</f>
        <v>5170000</v>
      </c>
    </row>
    <row r="40" customFormat="false" ht="25.5" hidden="false" customHeight="true" outlineLevel="0" collapsed="false">
      <c r="A40" s="12" t="s">
        <v>105</v>
      </c>
      <c r="B40" s="12"/>
      <c r="C40" s="12"/>
      <c r="D40" s="12"/>
      <c r="E40" s="12"/>
      <c r="F40" s="12"/>
      <c r="G40" s="12"/>
      <c r="H40" s="13" t="n">
        <f aca="false">SUM(H17+H25+H38)</f>
        <v>15257500</v>
      </c>
    </row>
    <row r="41" customFormat="false" ht="21.75" hidden="false" customHeight="true" outlineLevel="0" collapsed="false">
      <c r="A41" s="9" t="s">
        <v>106</v>
      </c>
      <c r="B41" s="9"/>
      <c r="C41" s="9"/>
      <c r="D41" s="9"/>
      <c r="E41" s="9"/>
      <c r="F41" s="9"/>
      <c r="G41" s="9"/>
      <c r="H41" s="10" t="n">
        <f aca="false">H40*0.1</f>
        <v>1525750</v>
      </c>
    </row>
    <row r="42" customFormat="false" ht="25.5" hidden="false" customHeight="true" outlineLevel="0" collapsed="false">
      <c r="A42" s="12" t="s">
        <v>107</v>
      </c>
      <c r="B42" s="12"/>
      <c r="C42" s="12"/>
      <c r="D42" s="12"/>
      <c r="E42" s="12"/>
      <c r="F42" s="12"/>
      <c r="G42" s="12"/>
      <c r="H42" s="13" t="n">
        <f aca="false">H40+H41</f>
        <v>16783250</v>
      </c>
    </row>
  </sheetData>
  <mergeCells count="5">
    <mergeCell ref="A1:H1"/>
    <mergeCell ref="A2:H2"/>
    <mergeCell ref="A5:H5"/>
    <mergeCell ref="A19:H19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2026-07-16T13:08:37Z</dcterms:created>
  <dc:creator>openpyxl</dc:creator>
  <dc:description/>
  <dc:language>en-US</dc:language>
  <cp:lastModifiedBy/>
  <dcterms:modified xsi:type="dcterms:W3CDTF">2026-07-16T13:09:11Z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