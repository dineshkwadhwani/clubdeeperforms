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d Age Home - Civil" sheetId="1" state="visible" r:id="rId3"/>
    <sheet name="Care Center - Civil" sheetId="2" state="visible" r:id="rId4"/>
    <sheet name="Hospital - Civil" sheetId="3" state="visible" r:id="rId5"/>
    <sheet name="Old Age Home - Fit-Out" sheetId="4" state="visible" r:id="rId6"/>
    <sheet name="Care Center - Fit-Out" sheetId="5" state="visible" r:id="rId7"/>
    <sheet name="Hospital - Fit-Ou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<sst xmlns="http://schemas.openxmlformats.org/spreadsheetml/2006/main" count="147" uniqueCount="90">
  <si>
    <t xml:space="preserve">OLD AGE HOME - CIVIL — CIVIL CONSTRUCTION COST</t>
  </si>
  <si>
    <t xml:space="preserve">Built-up rate: ₹2,500/sq ft | Open space: ₹500/sq ft | All costs indicative</t>
  </si>
  <si>
    <t xml:space="preserve">Component</t>
  </si>
  <si>
    <t xml:space="preserve">Area / Qty</t>
  </si>
  <si>
    <t xml:space="preserve">Unit</t>
  </si>
  <si>
    <t xml:space="preserve">Rate (₹)</t>
  </si>
  <si>
    <t xml:space="preserve">Total (₹)</t>
  </si>
  <si>
    <t xml:space="preserve">Notes</t>
  </si>
  <si>
    <t xml:space="preserve">Old Age Home building — 2 floors (50 residents)</t>
  </si>
  <si>
    <t xml:space="preserve">sq ft</t>
  </si>
  <si>
    <t xml:space="preserve">Fully accessible; anti-slip floors; elderly-safe design</t>
  </si>
  <si>
    <t xml:space="preserve">Accessible sensory garden + walking paths</t>
  </si>
  <si>
    <t xml:space="preserve">Open garden; no FSI; smooth paths; seating every 20m</t>
  </si>
  <si>
    <t xml:space="preserve">Utilities — medical gas provision; nurse call civil</t>
  </si>
  <si>
    <t xml:space="preserve">lump sum</t>
  </si>
  <si>
    <t xml:space="preserve">Medical gas piping; nurse call conduit throughout building</t>
  </si>
  <si>
    <t xml:space="preserve">CIVIL TOTAL — Old Age Home - Civil</t>
  </si>
  <si>
    <t xml:space="preserve">CARE CENTER - CIVIL — CIVIL CONSTRUCTION COST</t>
  </si>
  <si>
    <t xml:space="preserve">Care Center building — 1–2 floors (50 persons)</t>
  </si>
  <si>
    <t xml:space="preserve">Sensory room; padded areas; accessible; rounded corners</t>
  </si>
  <si>
    <t xml:space="preserve">Sensory garden + outdoor play area</t>
  </si>
  <si>
    <t xml:space="preserve">Open; sand pit + water play; shade; no FSI consumed</t>
  </si>
  <si>
    <t xml:space="preserve">Sensory room special construction (padded walls)</t>
  </si>
  <si>
    <t xml:space="preserve">Padded walls + floor specialist installation</t>
  </si>
  <si>
    <t xml:space="preserve">CIVIL TOTAL — Care Center - Civil</t>
  </si>
  <si>
    <t xml:space="preserve">HOSPITAL - CIVIL — CIVIL CONSTRUCTION COST</t>
  </si>
  <si>
    <t xml:space="preserve">Hospital building — 2 floors (20-bed Phase 1)</t>
  </si>
  <si>
    <t xml:space="preserve">Stretcher-wide corridors; medical gas piping; ambulance bay</t>
  </si>
  <si>
    <t xml:space="preserve">100% generator backup + UPS (hospital-critical)</t>
  </si>
  <si>
    <t xml:space="preserve">Life support; ICU; OT provision; no interruption</t>
  </si>
  <si>
    <t xml:space="preserve">Medical waste storage + biomedical civil provisions</t>
  </si>
  <si>
    <t xml:space="preserve">Separate bio-hazard storage; incinerator foundation</t>
  </si>
  <si>
    <t xml:space="preserve">CIVIL TOTAL — Hospital - Civil</t>
  </si>
  <si>
    <t xml:space="preserve">OLD AGE HOME - FIT-OUT — FIT-OUT &amp; EQUIPMENT</t>
  </si>
  <si>
    <t xml:space="preserve">Prices from Pune/Maharashtra market — July 2026. Get fresh quotations before procurement.</t>
  </si>
  <si>
    <t xml:space="preserve">Item</t>
  </si>
  <si>
    <t xml:space="preserve">Specification</t>
  </si>
  <si>
    <t xml:space="preserve">Qty</t>
  </si>
  <si>
    <t xml:space="preserve">Min Price (₹)</t>
  </si>
  <si>
    <t xml:space="preserve">Max Price (₹)</t>
  </si>
  <si>
    <t xml:space="preserve">Avg Price (₹)</t>
  </si>
  <si>
    <t xml:space="preserve">Elderly-appropriate furniture (50 rooms + common areas)</t>
  </si>
  <si>
    <t xml:space="preserve">Beds, wardrobes, chairs, dining furniture, TV units</t>
  </si>
  <si>
    <t xml:space="preserve">Smart sensor monitoring per room (fall + motion detect)</t>
  </si>
  <si>
    <t xml:space="preserve">Smart sensor system India ₹15,000–25,000 per room</t>
  </si>
  <si>
    <t xml:space="preserve">rooms</t>
  </si>
  <si>
    <t xml:space="preserve">Physiotherapy equipment (parallel bars, treatment table, exercise equip)</t>
  </si>
  <si>
    <t xml:space="preserve">PT equipment India</t>
  </si>
  <si>
    <t xml:space="preserve">set</t>
  </si>
  <si>
    <t xml:space="preserve">Nursing station equipment (call system, monitoring screen)</t>
  </si>
  <si>
    <t xml:space="preserve">Nurse call system + station display India</t>
  </si>
  <si>
    <t xml:space="preserve">Activity room equipment (yoga mats, craft materials)</t>
  </si>
  <si>
    <t xml:space="preserve">Activity room setup</t>
  </si>
  <si>
    <t xml:space="preserve">Dining hall furniture (50 seats; adapted furniture)</t>
  </si>
  <si>
    <t xml:space="preserve">Elderly-adapted dining chairs + tables</t>
  </si>
  <si>
    <t xml:space="preserve">TOTAL — Old Age Home - Fit-Out</t>
  </si>
  <si>
    <t xml:space="preserve">Contingency (10%)</t>
  </si>
  <si>
    <t xml:space="preserve">CARE CENTER - FIT-OUT — FIT-OUT &amp; EQUIPMENT</t>
  </si>
  <si>
    <t xml:space="preserve">Occupational + physiotherapy equipment (6 therapy rooms)</t>
  </si>
  <si>
    <t xml:space="preserve">OT + PT therapy equipment India</t>
  </si>
  <si>
    <t xml:space="preserve">ABA therapy materials + observation room setup</t>
  </si>
  <si>
    <t xml:space="preserve">ABA therapy India</t>
  </si>
  <si>
    <t xml:space="preserve">Sensory room equipment (bubble tube, fibre optic, projector)</t>
  </si>
  <si>
    <t xml:space="preserve">Sensory room equipment India ₹2–4L</t>
  </si>
  <si>
    <t xml:space="preserve">Colourful indoor play area (padded flooring + equipment)</t>
  </si>
  <si>
    <t xml:space="preserve">Padded soft play India</t>
  </si>
  <si>
    <t xml:space="preserve">Adapted furniture (dining, therapy, common areas)</t>
  </si>
  <si>
    <t xml:space="preserve">Wheelchair-accessible adapted furniture</t>
  </si>
  <si>
    <t xml:space="preserve">Assistive technology devices (1 per room)</t>
  </si>
  <si>
    <t xml:space="preserve">Communication devices + adapted computers India</t>
  </si>
  <si>
    <t xml:space="preserve">TOTAL — Care Center - Fit-Out</t>
  </si>
  <si>
    <t xml:space="preserve">HOSPITAL - FIT-OUT — FIT-OUT &amp; EQUIPMENT</t>
  </si>
  <si>
    <t xml:space="preserve">Medical equipment — OPD, ICU, emergency (basic set)</t>
  </si>
  <si>
    <t xml:space="preserve">Examination tables; ECG; echo; patient monitor; ventilator ×2</t>
  </si>
  <si>
    <t xml:space="preserve">Dental clinic (2 units — chair + X-ray + steriliser)</t>
  </si>
  <si>
    <t xml:space="preserve">Dental unit India ₹3–4L per chair installed</t>
  </si>
  <si>
    <t xml:space="preserve">units</t>
  </si>
  <si>
    <t xml:space="preserve">24-hour pharmacy (shelving + refrigerators + POS)</t>
  </si>
  <si>
    <t xml:space="preserve">Medicine shelving + 2 med refrigerators + Deeper Coins POS</t>
  </si>
  <si>
    <t xml:space="preserve">Nurse call system (beds + station)</t>
  </si>
  <si>
    <t xml:space="preserve">Wireless nurse call India ₹3–6L for 20 beds</t>
  </si>
  <si>
    <t xml:space="preserve">system</t>
  </si>
  <si>
    <t xml:space="preserve">Patient beds (hospital grade, adjustable)</t>
  </si>
  <si>
    <t xml:space="preserve">Hospital adjustable bed India ₹25,000–50,000</t>
  </si>
  <si>
    <t xml:space="preserve">beds</t>
  </si>
  <si>
    <t xml:space="preserve">CCTV + access control (hospital)</t>
  </si>
  <si>
    <t xml:space="preserve">30 cameras + NVR + access control for hospital</t>
  </si>
  <si>
    <t xml:space="preserve">Basic pathology lab equipment</t>
  </si>
  <si>
    <t xml:space="preserve">Haematology analyser + biochemistry + microscope</t>
  </si>
  <si>
    <t xml:space="preserve">TOTAL — Hospital - Fit-Out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</si>
</sst>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1A237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71C1C"/>
        <bgColor rgb="FF880E4F"/>
      </patternFill>
    </fill>
    <fill>
      <patternFill patternType="solid">
        <fgColor rgb="FFFFF8E1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880E4F"/>
        <bgColor rgb="FF800080"/>
      </patternFill>
    </fill>
    <fill>
      <patternFill patternType="solid">
        <fgColor rgb="FF1B5E20"/>
        <bgColor rgb="FF37474F"/>
      </patternFill>
    </fill>
    <fill>
      <patternFill patternType="solid">
        <fgColor rgb="FFE8F5E9"/>
        <bgColor rgb="FFF5F5F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B71C1C"/>
      </left>
      <right/>
      <top style="medium">
        <color rgb="FFB71C1C"/>
      </top>
      <bottom style="medium">
        <color rgb="FFB71C1C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 diagonalUp="false" diagonalDown="false">
      <left style="medium">
        <color rgb="FF880E4F"/>
      </left>
      <right/>
      <top style="medium">
        <color rgb="FF880E4F"/>
      </top>
      <bottom style="medium">
        <color rgb="FF880E4F"/>
      </bottom>
      <diagonal/>
    </border>
    <border diagonalUp="false" diagonalDown="false">
      <left style="medium">
        <color rgb="FF1B5E20"/>
      </left>
      <right/>
      <top style="medium">
        <color rgb="FF1B5E20"/>
      </top>
      <bottom style="medium">
        <color rgb="FF1B5E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237E"/>
      <rgbColor rgb="FF339966"/>
      <rgbColor rgb="FF003300"/>
      <rgbColor rgb="FF333300"/>
      <rgbColor rgb="FFB71C1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4" t="n">
        <v>24800</v>
      </c>
      <c r="C5" s="4" t="s">
        <v>9</v>
      </c>
      <c r="D5" s="5" t="n">
        <v>2500</v>
      </c>
      <c r="E5" s="4" t="s">
        <v>10</v>
      </c>
    </row>
    <row r="6" customFormat="false" ht="21.75" hidden="false" customHeight="true" outlineLevel="0" collapsed="false">
      <c r="A6" s="6" t="s">
        <v>11</v>
      </c>
      <c r="B6" s="6" t="n">
        <v>5000</v>
      </c>
      <c r="C6" s="6" t="s">
        <v>9</v>
      </c>
      <c r="D6" s="7" t="n">
        <v>500</v>
      </c>
      <c r="E6" s="6" t="s">
        <v>12</v>
      </c>
    </row>
    <row r="7" customFormat="false" ht="21.75" hidden="false" customHeight="true" outlineLevel="0" collapsed="false">
      <c r="A7" s="4" t="s">
        <v>13</v>
      </c>
      <c r="B7" s="4" t="n">
        <v>1</v>
      </c>
      <c r="C7" s="4" t="s">
        <v>14</v>
      </c>
      <c r="D7" s="5" t="n">
        <v>2000000</v>
      </c>
      <c r="E7" s="4" t="s">
        <v>15</v>
      </c>
    </row>
    <row r="8" customFormat="false" ht="25.5" hidden="false" customHeight="true" outlineLevel="0" collapsed="false">
      <c r="A8" s="8" t="s">
        <v>16</v>
      </c>
      <c r="B8" s="8"/>
      <c r="C8" s="8"/>
      <c r="D8" s="8"/>
      <c r="E8" s="9" t="n">
        <f aca="false">SUM(E5:E7)</f>
        <v>0</v>
      </c>
      <c r="F8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0" t="s">
        <v>17</v>
      </c>
      <c r="B1" s="10"/>
      <c r="C1" s="10"/>
      <c r="D1" s="10"/>
      <c r="E1" s="10"/>
      <c r="F1" s="10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customFormat="false" ht="21.75" hidden="false" customHeight="true" outlineLevel="0" collapsed="false">
      <c r="A5" s="4" t="s">
        <v>18</v>
      </c>
      <c r="B5" s="4" t="n">
        <v>16640</v>
      </c>
      <c r="C5" s="4" t="s">
        <v>9</v>
      </c>
      <c r="D5" s="5" t="n">
        <v>2500</v>
      </c>
      <c r="E5" s="4" t="s">
        <v>19</v>
      </c>
    </row>
    <row r="6" customFormat="false" ht="21.75" hidden="false" customHeight="true" outlineLevel="0" collapsed="false">
      <c r="A6" s="6" t="s">
        <v>20</v>
      </c>
      <c r="B6" s="6" t="n">
        <v>2000</v>
      </c>
      <c r="C6" s="6" t="s">
        <v>9</v>
      </c>
      <c r="D6" s="7" t="n">
        <v>500</v>
      </c>
      <c r="E6" s="6" t="s">
        <v>21</v>
      </c>
    </row>
    <row r="7" customFormat="false" ht="21.75" hidden="false" customHeight="true" outlineLevel="0" collapsed="false">
      <c r="A7" s="4" t="s">
        <v>22</v>
      </c>
      <c r="B7" s="4" t="n">
        <v>1</v>
      </c>
      <c r="C7" s="4" t="s">
        <v>14</v>
      </c>
      <c r="D7" s="5" t="n">
        <v>500000</v>
      </c>
      <c r="E7" s="4" t="s">
        <v>23</v>
      </c>
    </row>
    <row r="8" customFormat="false" ht="25.5" hidden="false" customHeight="true" outlineLevel="0" collapsed="false">
      <c r="A8" s="8" t="s">
        <v>24</v>
      </c>
      <c r="B8" s="8"/>
      <c r="C8" s="8"/>
      <c r="D8" s="8"/>
      <c r="E8" s="9" t="n">
        <f aca="false">SUM(E5:E7)</f>
        <v>0</v>
      </c>
      <c r="F8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2" t="s">
        <v>25</v>
      </c>
      <c r="B1" s="12"/>
      <c r="C1" s="12"/>
      <c r="D1" s="12"/>
      <c r="E1" s="12"/>
      <c r="F1" s="12"/>
    </row>
    <row r="2" customFormat="false" ht="1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 customFormat="false" ht="21.75" hidden="false" customHeight="true" outlineLevel="0" collapsed="false">
      <c r="A5" s="4" t="s">
        <v>26</v>
      </c>
      <c r="B5" s="4" t="n">
        <v>8700</v>
      </c>
      <c r="C5" s="4" t="s">
        <v>9</v>
      </c>
      <c r="D5" s="5" t="n">
        <v>2500</v>
      </c>
      <c r="E5" s="4" t="s">
        <v>27</v>
      </c>
    </row>
    <row r="6" customFormat="false" ht="21.75" hidden="false" customHeight="true" outlineLevel="0" collapsed="false">
      <c r="A6" s="6" t="s">
        <v>28</v>
      </c>
      <c r="B6" s="6" t="n">
        <v>1</v>
      </c>
      <c r="C6" s="6" t="s">
        <v>14</v>
      </c>
      <c r="D6" s="7" t="n">
        <v>8000000</v>
      </c>
      <c r="E6" s="6" t="s">
        <v>29</v>
      </c>
    </row>
    <row r="7" customFormat="false" ht="21.75" hidden="false" customHeight="true" outlineLevel="0" collapsed="false">
      <c r="A7" s="4" t="s">
        <v>30</v>
      </c>
      <c r="B7" s="4" t="n">
        <v>1</v>
      </c>
      <c r="C7" s="4" t="s">
        <v>14</v>
      </c>
      <c r="D7" s="5" t="n">
        <v>500000</v>
      </c>
      <c r="E7" s="4" t="s">
        <v>31</v>
      </c>
    </row>
    <row r="8" customFormat="false" ht="25.5" hidden="false" customHeight="true" outlineLevel="0" collapsed="false">
      <c r="A8" s="8" t="s">
        <v>32</v>
      </c>
      <c r="B8" s="8"/>
      <c r="C8" s="8"/>
      <c r="D8" s="8"/>
      <c r="E8" s="9" t="n">
        <f aca="false">SUM(E5:E7)</f>
        <v>0</v>
      </c>
      <c r="F8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2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4</v>
      </c>
      <c r="E4" s="3" t="s">
        <v>38</v>
      </c>
      <c r="F4" s="3" t="s">
        <v>39</v>
      </c>
      <c r="G4" s="3" t="s">
        <v>40</v>
      </c>
      <c r="H4" s="3" t="s">
        <v>6</v>
      </c>
    </row>
    <row r="5" customFormat="false" ht="21.75" hidden="false" customHeight="true" outlineLevel="0" collapsed="false">
      <c r="A5" s="4" t="s">
        <v>41</v>
      </c>
      <c r="B5" s="4" t="s">
        <v>42</v>
      </c>
      <c r="C5" s="4" t="n">
        <v>1</v>
      </c>
      <c r="D5" s="4" t="s">
        <v>14</v>
      </c>
      <c r="E5" s="5" t="n">
        <v>3000000</v>
      </c>
      <c r="F5" s="5" t="n">
        <v>5000000</v>
      </c>
      <c r="G5" s="5" t="n">
        <f aca="false">(E5+F5)/2</f>
        <v>4000000</v>
      </c>
      <c r="H5" s="5" t="n">
        <f aca="false">G5*C5</f>
        <v>4000000</v>
      </c>
    </row>
    <row r="6" customFormat="false" ht="21.75" hidden="false" customHeight="true" outlineLevel="0" collapsed="false">
      <c r="A6" s="6" t="s">
        <v>43</v>
      </c>
      <c r="B6" s="6" t="s">
        <v>44</v>
      </c>
      <c r="C6" s="6" t="n">
        <v>50</v>
      </c>
      <c r="D6" s="6" t="s">
        <v>45</v>
      </c>
      <c r="E6" s="7" t="n">
        <v>15000</v>
      </c>
      <c r="F6" s="7" t="n">
        <v>25000</v>
      </c>
      <c r="G6" s="7" t="n">
        <f aca="false">(E6+F6)/2</f>
        <v>20000</v>
      </c>
      <c r="H6" s="7" t="n">
        <f aca="false">G6*C6</f>
        <v>1000000</v>
      </c>
    </row>
    <row r="7" customFormat="false" ht="21.75" hidden="false" customHeight="true" outlineLevel="0" collapsed="false">
      <c r="A7" s="4" t="s">
        <v>46</v>
      </c>
      <c r="B7" s="4" t="s">
        <v>47</v>
      </c>
      <c r="C7" s="4" t="n">
        <v>1</v>
      </c>
      <c r="D7" s="4" t="s">
        <v>48</v>
      </c>
      <c r="E7" s="5" t="n">
        <v>1000000</v>
      </c>
      <c r="F7" s="5" t="n">
        <v>2000000</v>
      </c>
      <c r="G7" s="5" t="n">
        <f aca="false">(E7+F7)/2</f>
        <v>1500000</v>
      </c>
      <c r="H7" s="5" t="n">
        <f aca="false">G7*C7</f>
        <v>1500000</v>
      </c>
    </row>
    <row r="8" customFormat="false" ht="21.75" hidden="false" customHeight="true" outlineLevel="0" collapsed="false">
      <c r="A8" s="6" t="s">
        <v>49</v>
      </c>
      <c r="B8" s="6" t="s">
        <v>50</v>
      </c>
      <c r="C8" s="6" t="n">
        <v>1</v>
      </c>
      <c r="D8" s="6" t="s">
        <v>48</v>
      </c>
      <c r="E8" s="7" t="n">
        <v>200000</v>
      </c>
      <c r="F8" s="7" t="n">
        <v>400000</v>
      </c>
      <c r="G8" s="7" t="n">
        <f aca="false">(E8+F8)/2</f>
        <v>300000</v>
      </c>
      <c r="H8" s="7" t="n">
        <f aca="false">G8*C8</f>
        <v>300000</v>
      </c>
    </row>
    <row r="9" customFormat="false" ht="21.75" hidden="false" customHeight="true" outlineLevel="0" collapsed="false">
      <c r="A9" s="4" t="s">
        <v>51</v>
      </c>
      <c r="B9" s="4" t="s">
        <v>52</v>
      </c>
      <c r="C9" s="4" t="n">
        <v>1</v>
      </c>
      <c r="D9" s="4" t="s">
        <v>48</v>
      </c>
      <c r="E9" s="5" t="n">
        <v>100000</v>
      </c>
      <c r="F9" s="5" t="n">
        <v>200000</v>
      </c>
      <c r="G9" s="5" t="n">
        <f aca="false">(E9+F9)/2</f>
        <v>150000</v>
      </c>
      <c r="H9" s="5" t="n">
        <f aca="false">G9*C9</f>
        <v>150000</v>
      </c>
    </row>
    <row r="10" customFormat="false" ht="21.75" hidden="false" customHeight="true" outlineLevel="0" collapsed="false">
      <c r="A10" s="6" t="s">
        <v>53</v>
      </c>
      <c r="B10" s="6" t="s">
        <v>54</v>
      </c>
      <c r="C10" s="6" t="n">
        <v>1</v>
      </c>
      <c r="D10" s="6" t="s">
        <v>48</v>
      </c>
      <c r="E10" s="7" t="n">
        <v>300000</v>
      </c>
      <c r="F10" s="7" t="n">
        <v>500000</v>
      </c>
      <c r="G10" s="7" t="n">
        <f aca="false">(E10+F10)/2</f>
        <v>400000</v>
      </c>
      <c r="H10" s="7" t="n">
        <f aca="false">G10*C10</f>
        <v>400000</v>
      </c>
    </row>
    <row r="11" customFormat="false" ht="25.5" hidden="false" customHeight="true" outlineLevel="0" collapsed="false">
      <c r="A11" s="8" t="s">
        <v>55</v>
      </c>
      <c r="B11" s="8"/>
      <c r="C11" s="8"/>
      <c r="D11" s="8"/>
      <c r="E11" s="8"/>
      <c r="F11" s="8"/>
      <c r="G11" s="8"/>
      <c r="H11" s="9" t="n">
        <f aca="false">SUM(H5:H10)</f>
        <v>7350000</v>
      </c>
    </row>
    <row r="12" customFormat="false" ht="21.75" hidden="false" customHeight="true" outlineLevel="0" collapsed="false">
      <c r="A12" s="14" t="s">
        <v>56</v>
      </c>
      <c r="B12" s="14"/>
      <c r="C12" s="14"/>
      <c r="D12" s="14"/>
      <c r="E12" s="14"/>
      <c r="F12" s="14"/>
      <c r="G12" s="14"/>
      <c r="H12" s="15" t="n">
        <f aca="false">H11*0.1</f>
        <v>735000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0" t="s">
        <v>57</v>
      </c>
      <c r="B1" s="10"/>
      <c r="C1" s="10"/>
      <c r="D1" s="10"/>
      <c r="E1" s="10"/>
      <c r="F1" s="10"/>
      <c r="G1" s="10"/>
      <c r="H1" s="10"/>
    </row>
    <row r="2" customFormat="false" ht="12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11" t="s">
        <v>35</v>
      </c>
      <c r="B4" s="11" t="s">
        <v>36</v>
      </c>
      <c r="C4" s="11" t="s">
        <v>37</v>
      </c>
      <c r="D4" s="11" t="s">
        <v>4</v>
      </c>
      <c r="E4" s="11" t="s">
        <v>38</v>
      </c>
      <c r="F4" s="11" t="s">
        <v>39</v>
      </c>
      <c r="G4" s="11" t="s">
        <v>40</v>
      </c>
      <c r="H4" s="11" t="s">
        <v>6</v>
      </c>
    </row>
    <row r="5" customFormat="false" ht="21.75" hidden="false" customHeight="true" outlineLevel="0" collapsed="false">
      <c r="A5" s="4" t="s">
        <v>58</v>
      </c>
      <c r="B5" s="4" t="s">
        <v>59</v>
      </c>
      <c r="C5" s="4" t="n">
        <v>6</v>
      </c>
      <c r="D5" s="4" t="s">
        <v>45</v>
      </c>
      <c r="E5" s="5" t="n">
        <v>150000</v>
      </c>
      <c r="F5" s="5" t="n">
        <v>300000</v>
      </c>
      <c r="G5" s="5" t="n">
        <f aca="false">(E5+F5)/2</f>
        <v>225000</v>
      </c>
      <c r="H5" s="5" t="n">
        <f aca="false">G5*C5</f>
        <v>1350000</v>
      </c>
    </row>
    <row r="6" customFormat="false" ht="21.75" hidden="false" customHeight="true" outlineLevel="0" collapsed="false">
      <c r="A6" s="6" t="s">
        <v>60</v>
      </c>
      <c r="B6" s="6" t="s">
        <v>61</v>
      </c>
      <c r="C6" s="6" t="n">
        <v>1</v>
      </c>
      <c r="D6" s="6" t="s">
        <v>48</v>
      </c>
      <c r="E6" s="7" t="n">
        <v>200000</v>
      </c>
      <c r="F6" s="7" t="n">
        <v>400000</v>
      </c>
      <c r="G6" s="7" t="n">
        <f aca="false">(E6+F6)/2</f>
        <v>300000</v>
      </c>
      <c r="H6" s="7" t="n">
        <f aca="false">G6*C6</f>
        <v>300000</v>
      </c>
    </row>
    <row r="7" customFormat="false" ht="21.75" hidden="false" customHeight="true" outlineLevel="0" collapsed="false">
      <c r="A7" s="4" t="s">
        <v>62</v>
      </c>
      <c r="B7" s="4" t="s">
        <v>63</v>
      </c>
      <c r="C7" s="4" t="n">
        <v>1</v>
      </c>
      <c r="D7" s="4" t="s">
        <v>48</v>
      </c>
      <c r="E7" s="5" t="n">
        <v>200000</v>
      </c>
      <c r="F7" s="5" t="n">
        <v>400000</v>
      </c>
      <c r="G7" s="5" t="n">
        <f aca="false">(E7+F7)/2</f>
        <v>300000</v>
      </c>
      <c r="H7" s="5" t="n">
        <f aca="false">G7*C7</f>
        <v>300000</v>
      </c>
    </row>
    <row r="8" customFormat="false" ht="21.75" hidden="false" customHeight="true" outlineLevel="0" collapsed="false">
      <c r="A8" s="6" t="s">
        <v>64</v>
      </c>
      <c r="B8" s="6" t="s">
        <v>65</v>
      </c>
      <c r="C8" s="6" t="n">
        <v>1</v>
      </c>
      <c r="D8" s="6" t="s">
        <v>48</v>
      </c>
      <c r="E8" s="7" t="n">
        <v>300000</v>
      </c>
      <c r="F8" s="7" t="n">
        <v>600000</v>
      </c>
      <c r="G8" s="7" t="n">
        <f aca="false">(E8+F8)/2</f>
        <v>450000</v>
      </c>
      <c r="H8" s="7" t="n">
        <f aca="false">G8*C8</f>
        <v>450000</v>
      </c>
    </row>
    <row r="9" customFormat="false" ht="21.75" hidden="false" customHeight="true" outlineLevel="0" collapsed="false">
      <c r="A9" s="4" t="s">
        <v>66</v>
      </c>
      <c r="B9" s="4" t="s">
        <v>67</v>
      </c>
      <c r="C9" s="4" t="n">
        <v>1</v>
      </c>
      <c r="D9" s="4" t="s">
        <v>48</v>
      </c>
      <c r="E9" s="5" t="n">
        <v>200000</v>
      </c>
      <c r="F9" s="5" t="n">
        <v>400000</v>
      </c>
      <c r="G9" s="5" t="n">
        <f aca="false">(E9+F9)/2</f>
        <v>300000</v>
      </c>
      <c r="H9" s="5" t="n">
        <f aca="false">G9*C9</f>
        <v>300000</v>
      </c>
    </row>
    <row r="10" customFormat="false" ht="21.75" hidden="false" customHeight="true" outlineLevel="0" collapsed="false">
      <c r="A10" s="6" t="s">
        <v>68</v>
      </c>
      <c r="B10" s="6" t="s">
        <v>69</v>
      </c>
      <c r="C10" s="6" t="n">
        <v>30</v>
      </c>
      <c r="D10" s="6" t="s">
        <v>45</v>
      </c>
      <c r="E10" s="7" t="n">
        <v>8000</v>
      </c>
      <c r="F10" s="7" t="n">
        <v>15000</v>
      </c>
      <c r="G10" s="7" t="n">
        <f aca="false">(E10+F10)/2</f>
        <v>11500</v>
      </c>
      <c r="H10" s="7" t="n">
        <f aca="false">G10*C10</f>
        <v>345000</v>
      </c>
    </row>
    <row r="11" customFormat="false" ht="25.5" hidden="false" customHeight="true" outlineLevel="0" collapsed="false">
      <c r="A11" s="8" t="s">
        <v>70</v>
      </c>
      <c r="B11" s="8"/>
      <c r="C11" s="8"/>
      <c r="D11" s="8"/>
      <c r="E11" s="8"/>
      <c r="F11" s="8"/>
      <c r="G11" s="8"/>
      <c r="H11" s="9" t="n">
        <f aca="false">SUM(H5:H10)</f>
        <v>3045000</v>
      </c>
    </row>
    <row r="12" customFormat="false" ht="21.75" hidden="false" customHeight="true" outlineLevel="0" collapsed="false">
      <c r="A12" s="14" t="s">
        <v>56</v>
      </c>
      <c r="B12" s="14"/>
      <c r="C12" s="14"/>
      <c r="D12" s="14"/>
      <c r="E12" s="14"/>
      <c r="F12" s="14"/>
      <c r="G12" s="14"/>
      <c r="H12" s="15" t="n">
        <f aca="false">H11*0.1</f>
        <v>304500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2" t="s">
        <v>71</v>
      </c>
      <c r="B1" s="12"/>
      <c r="C1" s="12"/>
      <c r="D1" s="12"/>
      <c r="E1" s="12"/>
      <c r="F1" s="12"/>
      <c r="G1" s="12"/>
      <c r="H1" s="12"/>
    </row>
    <row r="2" customFormat="false" ht="12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13" t="s">
        <v>35</v>
      </c>
      <c r="B4" s="13" t="s">
        <v>36</v>
      </c>
      <c r="C4" s="13" t="s">
        <v>37</v>
      </c>
      <c r="D4" s="13" t="s">
        <v>4</v>
      </c>
      <c r="E4" s="13" t="s">
        <v>38</v>
      </c>
      <c r="F4" s="13" t="s">
        <v>39</v>
      </c>
      <c r="G4" s="13" t="s">
        <v>40</v>
      </c>
      <c r="H4" s="13" t="s">
        <v>6</v>
      </c>
    </row>
    <row r="5" customFormat="false" ht="21.75" hidden="false" customHeight="true" outlineLevel="0" collapsed="false">
      <c r="A5" s="4" t="s">
        <v>72</v>
      </c>
      <c r="B5" s="4" t="s">
        <v>73</v>
      </c>
      <c r="C5" s="4" t="n">
        <v>1</v>
      </c>
      <c r="D5" s="4" t="s">
        <v>48</v>
      </c>
      <c r="E5" s="5" t="n">
        <v>3000000</v>
      </c>
      <c r="F5" s="5" t="n">
        <v>6000000</v>
      </c>
      <c r="G5" s="5" t="n">
        <f aca="false">(E5+F5)/2</f>
        <v>4500000</v>
      </c>
      <c r="H5" s="5" t="n">
        <f aca="false">G5*C5</f>
        <v>4500000</v>
      </c>
    </row>
    <row r="6" customFormat="false" ht="21.75" hidden="false" customHeight="true" outlineLevel="0" collapsed="false">
      <c r="A6" s="6" t="s">
        <v>74</v>
      </c>
      <c r="B6" s="6" t="s">
        <v>75</v>
      </c>
      <c r="C6" s="6" t="n">
        <v>2</v>
      </c>
      <c r="D6" s="6" t="s">
        <v>76</v>
      </c>
      <c r="E6" s="7" t="n">
        <v>300000</v>
      </c>
      <c r="F6" s="7" t="n">
        <v>450000</v>
      </c>
      <c r="G6" s="7" t="n">
        <f aca="false">(E6+F6)/2</f>
        <v>375000</v>
      </c>
      <c r="H6" s="7" t="n">
        <f aca="false">G6*C6</f>
        <v>750000</v>
      </c>
    </row>
    <row r="7" customFormat="false" ht="21.75" hidden="false" customHeight="true" outlineLevel="0" collapsed="false">
      <c r="A7" s="4" t="s">
        <v>77</v>
      </c>
      <c r="B7" s="4" t="s">
        <v>78</v>
      </c>
      <c r="C7" s="4" t="n">
        <v>1</v>
      </c>
      <c r="D7" s="4" t="s">
        <v>48</v>
      </c>
      <c r="E7" s="5" t="n">
        <v>600000</v>
      </c>
      <c r="F7" s="5" t="n">
        <v>1000000</v>
      </c>
      <c r="G7" s="5" t="n">
        <f aca="false">(E7+F7)/2</f>
        <v>800000</v>
      </c>
      <c r="H7" s="5" t="n">
        <f aca="false">G7*C7</f>
        <v>800000</v>
      </c>
    </row>
    <row r="8" customFormat="false" ht="21.75" hidden="false" customHeight="true" outlineLevel="0" collapsed="false">
      <c r="A8" s="6" t="s">
        <v>79</v>
      </c>
      <c r="B8" s="6" t="s">
        <v>80</v>
      </c>
      <c r="C8" s="6" t="n">
        <v>1</v>
      </c>
      <c r="D8" s="6" t="s">
        <v>81</v>
      </c>
      <c r="E8" s="7" t="n">
        <v>300000</v>
      </c>
      <c r="F8" s="7" t="n">
        <v>600000</v>
      </c>
      <c r="G8" s="7" t="n">
        <f aca="false">(E8+F8)/2</f>
        <v>450000</v>
      </c>
      <c r="H8" s="7" t="n">
        <f aca="false">G8*C8</f>
        <v>450000</v>
      </c>
    </row>
    <row r="9" customFormat="false" ht="21.75" hidden="false" customHeight="true" outlineLevel="0" collapsed="false">
      <c r="A9" s="4" t="s">
        <v>82</v>
      </c>
      <c r="B9" s="4" t="s">
        <v>83</v>
      </c>
      <c r="C9" s="4" t="n">
        <v>20</v>
      </c>
      <c r="D9" s="4" t="s">
        <v>84</v>
      </c>
      <c r="E9" s="5" t="n">
        <v>25000</v>
      </c>
      <c r="F9" s="5" t="n">
        <v>50000</v>
      </c>
      <c r="G9" s="5" t="n">
        <f aca="false">(E9+F9)/2</f>
        <v>37500</v>
      </c>
      <c r="H9" s="5" t="n">
        <f aca="false">G9*C9</f>
        <v>750000</v>
      </c>
    </row>
    <row r="10" customFormat="false" ht="21.75" hidden="false" customHeight="true" outlineLevel="0" collapsed="false">
      <c r="A10" s="6" t="s">
        <v>85</v>
      </c>
      <c r="B10" s="6" t="s">
        <v>86</v>
      </c>
      <c r="C10" s="6" t="n">
        <v>1</v>
      </c>
      <c r="D10" s="6" t="s">
        <v>48</v>
      </c>
      <c r="E10" s="7" t="n">
        <v>500000</v>
      </c>
      <c r="F10" s="7" t="n">
        <v>1000000</v>
      </c>
      <c r="G10" s="7" t="n">
        <f aca="false">(E10+F10)/2</f>
        <v>750000</v>
      </c>
      <c r="H10" s="7" t="n">
        <f aca="false">G10*C10</f>
        <v>750000</v>
      </c>
    </row>
    <row r="11" customFormat="false" ht="21.75" hidden="false" customHeight="true" outlineLevel="0" collapsed="false">
      <c r="A11" s="4" t="s">
        <v>87</v>
      </c>
      <c r="B11" s="4" t="s">
        <v>88</v>
      </c>
      <c r="C11" s="4" t="n">
        <v>1</v>
      </c>
      <c r="D11" s="4" t="s">
        <v>48</v>
      </c>
      <c r="E11" s="5" t="n">
        <v>500000</v>
      </c>
      <c r="F11" s="5" t="n">
        <v>1000000</v>
      </c>
      <c r="G11" s="5" t="n">
        <f aca="false">(E11+F11)/2</f>
        <v>750000</v>
      </c>
      <c r="H11" s="5" t="n">
        <f aca="false">G11*C11</f>
        <v>750000</v>
      </c>
    </row>
    <row r="12" customFormat="false" ht="25.5" hidden="false" customHeight="true" outlineLevel="0" collapsed="false">
      <c r="A12" s="8" t="s">
        <v>89</v>
      </c>
      <c r="B12" s="8"/>
      <c r="C12" s="8"/>
      <c r="D12" s="8"/>
      <c r="E12" s="8"/>
      <c r="F12" s="8"/>
      <c r="G12" s="8"/>
      <c r="H12" s="9" t="n">
        <f aca="false">SUM(H5:H11)</f>
        <v>8750000</v>
      </c>
    </row>
    <row r="13" customFormat="false" ht="21.75" hidden="false" customHeight="true" outlineLevel="0" collapsed="false">
      <c r="A13" s="14" t="s">
        <v>56</v>
      </c>
      <c r="B13" s="14"/>
      <c r="C13" s="14"/>
      <c r="D13" s="14"/>
      <c r="E13" s="14"/>
      <c r="F13" s="14"/>
      <c r="G13" s="14"/>
      <c r="H13" s="15" t="n">
        <f aca="false">H12*0.1</f>
        <v>875000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2026-07-16T13:08:37Z</dcterms:created>
  <dc:creator>openpyxl</dc:creator>
  <dc:description/>
  <dc:language>en-US</dc:language>
  <cp:lastModifiedBy/>
  <dcterms:modified xsi:type="dcterms:W3CDTF">2026-07-16T13:08:37Z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