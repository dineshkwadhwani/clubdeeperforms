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ngalow Complex - Infrastructu" sheetId="1" state="visible" r:id="rId3"/>
    <sheet name="Clubhouse - Civil + Fit-O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<sst xmlns="http://schemas.openxmlformats.org/spreadsheetml/2006/main" count="111" uniqueCount="91">
  <si>
    <t xml:space="preserve">RESIDENTIAL BUNGALOW COMPLEX — INFRASTRUCTURE COST SHEET (250 PLOTS × 3,000 SQ FT)</t>
  </si>
  <si>
    <t xml:space="preserve">Infrastructure cost only — EXCLUDES land purchase cost and individual bungalow construction by buyers. Phase 1: 100 plots @ ₹600/sq ft → ₹18 Crore revenue</t>
  </si>
  <si>
    <t xml:space="preserve">Infrastructure Component</t>
  </si>
  <si>
    <t xml:space="preserve">Area / Qty</t>
  </si>
  <si>
    <t xml:space="preserve">Unit</t>
  </si>
  <si>
    <t xml:space="preserve">Rate (₹)</t>
  </si>
  <si>
    <t xml:space="preserve">Total (₹)</t>
  </si>
  <si>
    <t xml:space="preserve">Notes</t>
  </si>
  <si>
    <t xml:space="preserve">Internal roads (6m wide, all-weather tar surface)</t>
  </si>
  <si>
    <t xml:space="preserve">running m</t>
  </si>
  <si>
    <t xml:space="preserve">10 km roads × ₹7,200/running metre (6m width × ₹1,200/sq mt)</t>
  </si>
  <si>
    <t xml:space="preserve">Footpaths (1.5m each side of roads)</t>
  </si>
  <si>
    <t xml:space="preserve">sq mt</t>
  </si>
  <si>
    <t xml:space="preserve">Paved footpath both sides of main roads</t>
  </si>
  <si>
    <t xml:space="preserve">LED solar street lights (20m spacing)</t>
  </si>
  <si>
    <t xml:space="preserve">poles</t>
  </si>
  <si>
    <t xml:space="preserve">Solar LED pole installed India ₹12,000–20,000</t>
  </si>
  <si>
    <t xml:space="preserve">Perimeter boundary wall (6-ft concrete slab)</t>
  </si>
  <si>
    <t xml:space="preserve">metres</t>
  </si>
  <si>
    <t xml:space="preserve">6-ft concrete boundary wall India ₹800–1,200/m; survey estimate ₹2 Cr</t>
  </si>
  <si>
    <t xml:space="preserve">Main entry gate + security cabin + boom barrier</t>
  </si>
  <si>
    <t xml:space="preserve">lump sum</t>
  </si>
  <si>
    <t xml:space="preserve">Gate + cabin + boom + CCTV + intercom installed</t>
  </si>
  <si>
    <t xml:space="preserve">Central water supply (OHT + pump house + mains)</t>
  </si>
  <si>
    <t xml:space="preserve">Overhead water tank + underground mains to all 250 plots</t>
  </si>
  <si>
    <t xml:space="preserve">Underground sewage network to all plots</t>
  </si>
  <si>
    <t xml:space="preserve">PVC sewer mains; manholes; house connections</t>
  </si>
  <si>
    <t xml:space="preserve">Underground electrical cabling to all plots</t>
  </si>
  <si>
    <t xml:space="preserve">LT cables to each plot boundary</t>
  </si>
  <si>
    <t xml:space="preserve">Landscaping — common areas, parks, roundabouts, avenues</t>
  </si>
  <si>
    <t xml:space="preserve">Trees, grass, planting, irrigation systems — common areas</t>
  </si>
  <si>
    <t xml:space="preserve">STP (Sewage Treatment Plant — 150 KLD)</t>
  </si>
  <si>
    <t xml:space="preserve">SBR technology; underground; 150 KLD capacity for 250 plots</t>
  </si>
  <si>
    <t xml:space="preserve">CCTV surveillance (1 camera per 5 houses)</t>
  </si>
  <si>
    <t xml:space="preserve">cameras</t>
  </si>
  <si>
    <t xml:space="preserve">IP cameras + NVR + wiring; remote monitoring via Eduval</t>
  </si>
  <si>
    <t xml:space="preserve">TOTAL INFRASTRUCTURE CIVIL</t>
  </si>
  <si>
    <t xml:space="preserve">~₹18.9 Crores; EXCLUDES land + individual plot construction</t>
  </si>
  <si>
    <t xml:space="preserve">Contingency (10%)</t>
  </si>
  <si>
    <t xml:space="preserve">TOTAL WITH CONTINGENCY</t>
  </si>
  <si>
    <t xml:space="preserve">REVENUE MODEL: Phase 1 (100 plots × 3,000 sq ft × ₹600/sq ft) = ₹18 Crores | Phase 2 (100 plots × ₹700/sq ft) = ₹21 Crores | Phase 3 (50 plots × ₹800/sq ft) = ₹12 Crores | TOTAL GROSS REVENUE = ~₹51 Crores vs Infrastructure Cost ~₹21 Crores → Net ~₹30 Crores before land cost</t>
  </si>
  <si>
    <t xml:space="preserve">CLUBHOUSE — CIVIL CONSTRUCTION + FIT-OUT COST SHEET (5,000 SQ FT)</t>
  </si>
  <si>
    <t xml:space="preserve">Premium finish rate ₹4,000/sq ft for clubhouse (vs standard ₹2,500) due to high-end finishes, spa, bar, restaurant grade construction</t>
  </si>
  <si>
    <t xml:space="preserve">CIVIL CONSTRUCTION</t>
  </si>
  <si>
    <t xml:space="preserve">Clubhouse building (premium finish — 5,000 sq ft)</t>
  </si>
  <si>
    <t xml:space="preserve">High-quality render + stone + premium interior finishes</t>
  </si>
  <si>
    <t xml:space="preserve">sq ft</t>
  </si>
  <si>
    <t xml:space="preserve">Club leisure pool (10m × 5m outdoor)</t>
  </si>
  <si>
    <t xml:space="preserve">RCC; waterproofing; mosaic tile; filtration; UV; deck</t>
  </si>
  <si>
    <t xml:space="preserve">Pool deck (teak + anti-slip tiles)</t>
  </si>
  <si>
    <t xml:space="preserve">Premium pool deck; teak furniture zone; shade structure</t>
  </si>
  <si>
    <t xml:space="preserve">CIVIL SUBTOTAL</t>
  </si>
  <si>
    <t xml:space="preserve">FIT-OUT &amp; FURNITURE</t>
  </si>
  <si>
    <t xml:space="preserve">Fine dining furniture (25 sets × 4 chairs)</t>
  </si>
  <si>
    <t xml:space="preserve">Premium wood/upholstered dining set</t>
  </si>
  <si>
    <t xml:space="preserve">sets</t>
  </si>
  <si>
    <t xml:space="preserve">Café bistro furniture (15 sets)</t>
  </si>
  <si>
    <t xml:space="preserve">Casual bistro table + chairs; weatherproof</t>
  </si>
  <si>
    <t xml:space="preserve">Bar counter (custom solid wood)</t>
  </si>
  <si>
    <t xml:space="preserve">8-10 seat bar counter; backlit display; premium</t>
  </si>
  <si>
    <t xml:space="preserve">unit</t>
  </si>
  <si>
    <t xml:space="preserve">Billiards table (8-ft professional)</t>
  </si>
  <si>
    <t xml:space="preserve">Professional billiards; 2 cues; balls; chalk</t>
  </si>
  <si>
    <t xml:space="preserve">Carrom boards (tournament grade)</t>
  </si>
  <si>
    <t xml:space="preserve">Full-size tournament carrom</t>
  </si>
  <si>
    <t xml:space="preserve">units</t>
  </si>
  <si>
    <t xml:space="preserve">Chess tables + weighted pieces</t>
  </si>
  <si>
    <t xml:space="preserve">Stone board table; premium weighted pieces</t>
  </si>
  <si>
    <t xml:space="preserve">Indoor TT table (ITTF standard, foldaway)</t>
  </si>
  <si>
    <t xml:space="preserve">ITTF approved; 2 bats + balls</t>
  </si>
  <si>
    <t xml:space="preserve">Children's soft play indoor area</t>
  </si>
  <si>
    <t xml:space="preserve">Slide + ball pit + activity wall; soft play India</t>
  </si>
  <si>
    <t xml:space="preserve">set</t>
  </si>
  <si>
    <t xml:space="preserve">Pre-fab steam room (4-person)</t>
  </si>
  <si>
    <t xml:space="preserve">SS pre-fabricated steam room</t>
  </si>
  <si>
    <t xml:space="preserve">Pre-fab sauna (4-person spruce wood)</t>
  </si>
  <si>
    <t xml:space="preserve">Spruce wood; electric heater; 4-person</t>
  </si>
  <si>
    <t xml:space="preserve">Jacuzzi (4-person acrylic)</t>
  </si>
  <si>
    <t xml:space="preserve">4-person; jets; LED lights; UV filter</t>
  </si>
  <si>
    <t xml:space="preserve">Massage beds (professional hydraulic)</t>
  </si>
  <si>
    <t xml:space="preserve">Hydraulic massage table India</t>
  </si>
  <si>
    <t xml:space="preserve">Pool loungers (teak, premium)</t>
  </si>
  <si>
    <t xml:space="preserve">Teak sunbed; cushioned</t>
  </si>
  <si>
    <t xml:space="preserve">Reception counter + lobby furniture</t>
  </si>
  <si>
    <t xml:space="preserve">Premium reception desk; sofa ×3; coffee tables</t>
  </si>
  <si>
    <t xml:space="preserve">Deeper Coins POS kiosks</t>
  </si>
  <si>
    <t xml:space="preserve">Touch POS; RFID; Eduval integrated</t>
  </si>
  <si>
    <t xml:space="preserve">Kitchen equipment for caterer</t>
  </si>
  <si>
    <t xml:space="preserve">Commercial range; cold room; dishwasher provision</t>
  </si>
  <si>
    <t xml:space="preserve">FIT-OUT SUBTOTAL</t>
  </si>
  <si>
    <t xml:space="preserve">GRAND TOTAL — CLUBHOUSE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</si>
</sst>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A148C"/>
        <bgColor rgb="FF1A237E"/>
      </patternFill>
    </fill>
    <fill>
      <patternFill patternType="solid">
        <fgColor rgb="FFFFF8E1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8E1"/>
      </patternFill>
    </fill>
    <fill>
      <patternFill patternType="solid">
        <fgColor rgb="FFE8F5E9"/>
        <bgColor rgb="FFF5F5F5"/>
      </patternFill>
    </fill>
    <fill>
      <patternFill patternType="solid">
        <fgColor rgb="FF4E342E"/>
        <bgColor rgb="FF33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  <border diagonalUp="false" diagonalDown="false"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 diagonalUp="false" diagonalDown="false">
      <left style="medium">
        <color rgb="FF4E342E"/>
      </left>
      <right style="medium">
        <color rgb="FF4E342E"/>
      </right>
      <top style="medium">
        <color rgb="FF4E342E"/>
      </top>
      <bottom style="medium">
        <color rgb="FF4E34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4A148C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8E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237E"/>
      <rgbColor rgb="FF339966"/>
      <rgbColor rgb="FF003300"/>
      <rgbColor rgb="FF333300"/>
      <rgbColor rgb="FF993300"/>
      <rgbColor rgb="FF993366"/>
      <rgbColor rgb="FF37474F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4" t="n">
        <v>10000</v>
      </c>
      <c r="C5" s="4" t="s">
        <v>9</v>
      </c>
      <c r="D5" s="5" t="n">
        <v>7200</v>
      </c>
      <c r="E5" s="4" t="s">
        <v>10</v>
      </c>
    </row>
    <row r="6" customFormat="false" ht="21.75" hidden="false" customHeight="true" outlineLevel="0" collapsed="false">
      <c r="A6" s="6" t="s">
        <v>11</v>
      </c>
      <c r="B6" s="6" t="n">
        <v>3000</v>
      </c>
      <c r="C6" s="6" t="s">
        <v>12</v>
      </c>
      <c r="D6" s="7" t="n">
        <v>800</v>
      </c>
      <c r="E6" s="6" t="s">
        <v>13</v>
      </c>
    </row>
    <row r="7" customFormat="false" ht="21.75" hidden="false" customHeight="true" outlineLevel="0" collapsed="false">
      <c r="A7" s="4" t="s">
        <v>14</v>
      </c>
      <c r="B7" s="4" t="n">
        <v>500</v>
      </c>
      <c r="C7" s="4" t="s">
        <v>15</v>
      </c>
      <c r="D7" s="5" t="n">
        <v>15000</v>
      </c>
      <c r="E7" s="4" t="s">
        <v>16</v>
      </c>
    </row>
    <row r="8" customFormat="false" ht="21.75" hidden="false" customHeight="true" outlineLevel="0" collapsed="false">
      <c r="A8" s="6" t="s">
        <v>17</v>
      </c>
      <c r="B8" s="6" t="n">
        <v>2500</v>
      </c>
      <c r="C8" s="6" t="s">
        <v>18</v>
      </c>
      <c r="D8" s="7" t="n">
        <v>800</v>
      </c>
      <c r="E8" s="6" t="s">
        <v>19</v>
      </c>
    </row>
    <row r="9" customFormat="false" ht="21.75" hidden="false" customHeight="true" outlineLevel="0" collapsed="false">
      <c r="A9" s="4" t="s">
        <v>20</v>
      </c>
      <c r="B9" s="4" t="n">
        <v>1</v>
      </c>
      <c r="C9" s="4" t="s">
        <v>21</v>
      </c>
      <c r="D9" s="5" t="n">
        <v>1500000</v>
      </c>
      <c r="E9" s="4" t="s">
        <v>22</v>
      </c>
    </row>
    <row r="10" customFormat="false" ht="21.75" hidden="false" customHeight="true" outlineLevel="0" collapsed="false">
      <c r="A10" s="6" t="s">
        <v>23</v>
      </c>
      <c r="B10" s="6" t="n">
        <v>1</v>
      </c>
      <c r="C10" s="6" t="s">
        <v>21</v>
      </c>
      <c r="D10" s="7" t="n">
        <v>15000000</v>
      </c>
      <c r="E10" s="6" t="s">
        <v>24</v>
      </c>
    </row>
    <row r="11" customFormat="false" ht="21.75" hidden="false" customHeight="true" outlineLevel="0" collapsed="false">
      <c r="A11" s="4" t="s">
        <v>25</v>
      </c>
      <c r="B11" s="4" t="n">
        <v>10000</v>
      </c>
      <c r="C11" s="4" t="s">
        <v>18</v>
      </c>
      <c r="D11" s="5" t="n">
        <v>3000</v>
      </c>
      <c r="E11" s="4" t="s">
        <v>26</v>
      </c>
    </row>
    <row r="12" customFormat="false" ht="21.75" hidden="false" customHeight="true" outlineLevel="0" collapsed="false">
      <c r="A12" s="6" t="s">
        <v>27</v>
      </c>
      <c r="B12" s="6" t="n">
        <v>10000</v>
      </c>
      <c r="C12" s="6" t="s">
        <v>18</v>
      </c>
      <c r="D12" s="7" t="n">
        <v>2500</v>
      </c>
      <c r="E12" s="6" t="s">
        <v>28</v>
      </c>
    </row>
    <row r="13" customFormat="false" ht="21.75" hidden="false" customHeight="true" outlineLevel="0" collapsed="false">
      <c r="A13" s="4" t="s">
        <v>29</v>
      </c>
      <c r="B13" s="4" t="n">
        <v>50000</v>
      </c>
      <c r="C13" s="4" t="s">
        <v>12</v>
      </c>
      <c r="D13" s="5" t="n">
        <v>200</v>
      </c>
      <c r="E13" s="4" t="s">
        <v>30</v>
      </c>
    </row>
    <row r="14" customFormat="false" ht="21.75" hidden="false" customHeight="true" outlineLevel="0" collapsed="false">
      <c r="A14" s="6" t="s">
        <v>31</v>
      </c>
      <c r="B14" s="6" t="n">
        <v>1</v>
      </c>
      <c r="C14" s="6" t="s">
        <v>21</v>
      </c>
      <c r="D14" s="7" t="n">
        <v>4000000</v>
      </c>
      <c r="E14" s="6" t="s">
        <v>32</v>
      </c>
    </row>
    <row r="15" customFormat="false" ht="21.75" hidden="false" customHeight="true" outlineLevel="0" collapsed="false">
      <c r="A15" s="4" t="s">
        <v>33</v>
      </c>
      <c r="B15" s="4" t="n">
        <v>250</v>
      </c>
      <c r="C15" s="4" t="s">
        <v>34</v>
      </c>
      <c r="D15" s="5" t="n">
        <v>5000</v>
      </c>
      <c r="E15" s="4" t="s">
        <v>35</v>
      </c>
    </row>
    <row r="16" customFormat="false" ht="25.5" hidden="false" customHeight="true" outlineLevel="0" collapsed="false">
      <c r="A16" s="8" t="s">
        <v>36</v>
      </c>
      <c r="B16" s="8"/>
      <c r="C16" s="8"/>
      <c r="D16" s="8"/>
      <c r="E16" s="9" t="n">
        <f aca="false">SUM(E5:E15)</f>
        <v>0</v>
      </c>
      <c r="F16" s="8" t="s">
        <v>37</v>
      </c>
    </row>
    <row r="17" customFormat="false" ht="21.75" hidden="false" customHeight="true" outlineLevel="0" collapsed="false">
      <c r="A17" s="10" t="s">
        <v>38</v>
      </c>
      <c r="B17" s="10"/>
      <c r="C17" s="10"/>
      <c r="D17" s="10"/>
      <c r="E17" s="11" t="n">
        <f aca="false">E16*0.1</f>
        <v>0</v>
      </c>
      <c r="F17" s="10"/>
    </row>
    <row r="18" customFormat="false" ht="25.5" hidden="false" customHeight="true" outlineLevel="0" collapsed="false">
      <c r="A18" s="8" t="s">
        <v>39</v>
      </c>
      <c r="B18" s="8"/>
      <c r="C18" s="8"/>
      <c r="D18" s="8"/>
      <c r="E18" s="9" t="n">
        <f aca="false">E16+E17</f>
        <v>0</v>
      </c>
      <c r="F18" s="8"/>
    </row>
    <row r="20" customFormat="false" ht="30" hidden="false" customHeight="true" outlineLevel="0" collapsed="false">
      <c r="A20" s="12" t="s">
        <v>40</v>
      </c>
      <c r="B20" s="12"/>
      <c r="C20" s="12"/>
      <c r="D20" s="12"/>
      <c r="E20" s="12"/>
      <c r="F20" s="12"/>
    </row>
  </sheetData>
  <mergeCells count="3">
    <mergeCell ref="A1:F1"/>
    <mergeCell ref="A2:F2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3" t="s">
        <v>41</v>
      </c>
      <c r="B1" s="13"/>
      <c r="C1" s="13"/>
      <c r="D1" s="13"/>
      <c r="E1" s="13"/>
      <c r="F1" s="13"/>
      <c r="G1" s="13"/>
      <c r="H1" s="13"/>
    </row>
    <row r="2" customFormat="false" ht="12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9.5" hidden="false" customHeight="true" outlineLevel="0" collapsed="false">
      <c r="A4" s="14" t="s">
        <v>43</v>
      </c>
      <c r="B4" s="14"/>
      <c r="C4" s="14"/>
      <c r="D4" s="14"/>
      <c r="E4" s="14"/>
      <c r="F4" s="14"/>
      <c r="G4" s="14"/>
      <c r="H4" s="14"/>
    </row>
    <row r="5" customFormat="false" ht="21.75" hidden="false" customHeight="true" outlineLevel="0" collapsed="false">
      <c r="A5" s="4" t="s">
        <v>44</v>
      </c>
      <c r="B5" s="4" t="s">
        <v>45</v>
      </c>
      <c r="C5" s="4" t="n">
        <v>5000</v>
      </c>
      <c r="D5" s="4" t="s">
        <v>46</v>
      </c>
      <c r="E5" s="5" t="n">
        <v>3500</v>
      </c>
      <c r="F5" s="5" t="n">
        <v>4500</v>
      </c>
      <c r="G5" s="5" t="n">
        <f aca="false">(E5+F5)/2</f>
        <v>4000</v>
      </c>
      <c r="H5" s="5" t="n">
        <f aca="false">G5*C5</f>
        <v>20000000</v>
      </c>
    </row>
    <row r="6" customFormat="false" ht="21.75" hidden="false" customHeight="true" outlineLevel="0" collapsed="false">
      <c r="A6" s="6" t="s">
        <v>47</v>
      </c>
      <c r="B6" s="6" t="s">
        <v>48</v>
      </c>
      <c r="C6" s="6" t="n">
        <v>1</v>
      </c>
      <c r="D6" s="6" t="s">
        <v>21</v>
      </c>
      <c r="E6" s="7" t="n">
        <v>2500000</v>
      </c>
      <c r="F6" s="7" t="n">
        <v>4000000</v>
      </c>
      <c r="G6" s="7" t="n">
        <f aca="false">(E6+F6)/2</f>
        <v>3250000</v>
      </c>
      <c r="H6" s="7" t="n">
        <f aca="false">G6*C6</f>
        <v>3250000</v>
      </c>
    </row>
    <row r="7" customFormat="false" ht="21.75" hidden="false" customHeight="true" outlineLevel="0" collapsed="false">
      <c r="A7" s="4" t="s">
        <v>49</v>
      </c>
      <c r="B7" s="4" t="s">
        <v>50</v>
      </c>
      <c r="C7" s="4" t="n">
        <v>1</v>
      </c>
      <c r="D7" s="4" t="s">
        <v>21</v>
      </c>
      <c r="E7" s="5" t="n">
        <v>1000000</v>
      </c>
      <c r="F7" s="5" t="n">
        <v>2000000</v>
      </c>
      <c r="G7" s="5" t="n">
        <f aca="false">(E7+F7)/2</f>
        <v>1500000</v>
      </c>
      <c r="H7" s="5" t="n">
        <f aca="false">G7*C7</f>
        <v>1500000</v>
      </c>
    </row>
    <row r="8" customFormat="false" ht="21.75" hidden="false" customHeight="true" outlineLevel="0" collapsed="false">
      <c r="A8" s="10" t="s">
        <v>51</v>
      </c>
      <c r="B8" s="10"/>
      <c r="C8" s="10"/>
      <c r="D8" s="10"/>
      <c r="E8" s="10"/>
      <c r="F8" s="10"/>
      <c r="G8" s="10"/>
      <c r="H8" s="11" t="n">
        <f aca="false">SUM(H5:H7)</f>
        <v>24750000</v>
      </c>
    </row>
    <row r="10" customFormat="false" ht="19.5" hidden="false" customHeight="true" outlineLevel="0" collapsed="false">
      <c r="A10" s="14" t="s">
        <v>52</v>
      </c>
      <c r="B10" s="14"/>
      <c r="C10" s="14"/>
      <c r="D10" s="14"/>
      <c r="E10" s="14"/>
      <c r="F10" s="14"/>
      <c r="G10" s="14"/>
      <c r="H10" s="14"/>
    </row>
    <row r="11" customFormat="false" ht="21.75" hidden="false" customHeight="true" outlineLevel="0" collapsed="false">
      <c r="A11" s="4" t="s">
        <v>53</v>
      </c>
      <c r="B11" s="4" t="s">
        <v>54</v>
      </c>
      <c r="C11" s="4" t="n">
        <v>25</v>
      </c>
      <c r="D11" s="4" t="s">
        <v>55</v>
      </c>
      <c r="E11" s="5" t="n">
        <v>15000</v>
      </c>
      <c r="F11" s="5" t="n">
        <v>30000</v>
      </c>
      <c r="G11" s="5" t="n">
        <f aca="false">(E11+F11)/2</f>
        <v>22500</v>
      </c>
      <c r="H11" s="5" t="n">
        <f aca="false">G11*C11</f>
        <v>562500</v>
      </c>
    </row>
    <row r="12" customFormat="false" ht="21.75" hidden="false" customHeight="true" outlineLevel="0" collapsed="false">
      <c r="A12" s="6" t="s">
        <v>56</v>
      </c>
      <c r="B12" s="6" t="s">
        <v>57</v>
      </c>
      <c r="C12" s="6" t="n">
        <v>15</v>
      </c>
      <c r="D12" s="6" t="s">
        <v>55</v>
      </c>
      <c r="E12" s="7" t="n">
        <v>8000</v>
      </c>
      <c r="F12" s="7" t="n">
        <v>15000</v>
      </c>
      <c r="G12" s="7" t="n">
        <f aca="false">(E12+F12)/2</f>
        <v>11500</v>
      </c>
      <c r="H12" s="7" t="n">
        <f aca="false">G12*C12</f>
        <v>172500</v>
      </c>
    </row>
    <row r="13" customFormat="false" ht="21.75" hidden="false" customHeight="true" outlineLevel="0" collapsed="false">
      <c r="A13" s="4" t="s">
        <v>58</v>
      </c>
      <c r="B13" s="4" t="s">
        <v>59</v>
      </c>
      <c r="C13" s="4" t="n">
        <v>1</v>
      </c>
      <c r="D13" s="4" t="s">
        <v>60</v>
      </c>
      <c r="E13" s="5" t="n">
        <v>150000</v>
      </c>
      <c r="F13" s="5" t="n">
        <v>300000</v>
      </c>
      <c r="G13" s="5" t="n">
        <f aca="false">(E13+F13)/2</f>
        <v>225000</v>
      </c>
      <c r="H13" s="5" t="n">
        <f aca="false">G13*C13</f>
        <v>225000</v>
      </c>
    </row>
    <row r="14" customFormat="false" ht="21.75" hidden="false" customHeight="true" outlineLevel="0" collapsed="false">
      <c r="A14" s="6" t="s">
        <v>61</v>
      </c>
      <c r="B14" s="6" t="s">
        <v>62</v>
      </c>
      <c r="C14" s="6" t="n">
        <v>1</v>
      </c>
      <c r="D14" s="6" t="s">
        <v>60</v>
      </c>
      <c r="E14" s="7" t="n">
        <v>80000</v>
      </c>
      <c r="F14" s="7" t="n">
        <v>150000</v>
      </c>
      <c r="G14" s="7" t="n">
        <f aca="false">(E14+F14)/2</f>
        <v>115000</v>
      </c>
      <c r="H14" s="7" t="n">
        <f aca="false">G14*C14</f>
        <v>115000</v>
      </c>
    </row>
    <row r="15" customFormat="false" ht="21.75" hidden="false" customHeight="true" outlineLevel="0" collapsed="false">
      <c r="A15" s="4" t="s">
        <v>63</v>
      </c>
      <c r="B15" s="4" t="s">
        <v>64</v>
      </c>
      <c r="C15" s="4" t="n">
        <v>2</v>
      </c>
      <c r="D15" s="4" t="s">
        <v>65</v>
      </c>
      <c r="E15" s="5" t="n">
        <v>5000</v>
      </c>
      <c r="F15" s="5" t="n">
        <v>10000</v>
      </c>
      <c r="G15" s="5" t="n">
        <f aca="false">(E15+F15)/2</f>
        <v>7500</v>
      </c>
      <c r="H15" s="5" t="n">
        <f aca="false">G15*C15</f>
        <v>15000</v>
      </c>
    </row>
    <row r="16" customFormat="false" ht="21.75" hidden="false" customHeight="true" outlineLevel="0" collapsed="false">
      <c r="A16" s="6" t="s">
        <v>66</v>
      </c>
      <c r="B16" s="6" t="s">
        <v>67</v>
      </c>
      <c r="C16" s="6" t="n">
        <v>4</v>
      </c>
      <c r="D16" s="6" t="s">
        <v>55</v>
      </c>
      <c r="E16" s="7" t="n">
        <v>8000</v>
      </c>
      <c r="F16" s="7" t="n">
        <v>15000</v>
      </c>
      <c r="G16" s="7" t="n">
        <f aca="false">(E16+F16)/2</f>
        <v>11500</v>
      </c>
      <c r="H16" s="7" t="n">
        <f aca="false">G16*C16</f>
        <v>46000</v>
      </c>
    </row>
    <row r="17" customFormat="false" ht="21.75" hidden="false" customHeight="true" outlineLevel="0" collapsed="false">
      <c r="A17" s="4" t="s">
        <v>68</v>
      </c>
      <c r="B17" s="4" t="s">
        <v>69</v>
      </c>
      <c r="C17" s="4" t="n">
        <v>1</v>
      </c>
      <c r="D17" s="4" t="s">
        <v>60</v>
      </c>
      <c r="E17" s="5" t="n">
        <v>25000</v>
      </c>
      <c r="F17" s="5" t="n">
        <v>45000</v>
      </c>
      <c r="G17" s="5" t="n">
        <f aca="false">(E17+F17)/2</f>
        <v>35000</v>
      </c>
      <c r="H17" s="5" t="n">
        <f aca="false">G17*C17</f>
        <v>35000</v>
      </c>
    </row>
    <row r="18" customFormat="false" ht="21.75" hidden="false" customHeight="true" outlineLevel="0" collapsed="false">
      <c r="A18" s="6" t="s">
        <v>70</v>
      </c>
      <c r="B18" s="6" t="s">
        <v>71</v>
      </c>
      <c r="C18" s="6" t="n">
        <v>1</v>
      </c>
      <c r="D18" s="6" t="s">
        <v>72</v>
      </c>
      <c r="E18" s="7" t="n">
        <v>150000</v>
      </c>
      <c r="F18" s="7" t="n">
        <v>300000</v>
      </c>
      <c r="G18" s="7" t="n">
        <f aca="false">(E18+F18)/2</f>
        <v>225000</v>
      </c>
      <c r="H18" s="7" t="n">
        <f aca="false">G18*C18</f>
        <v>225000</v>
      </c>
    </row>
    <row r="19" customFormat="false" ht="21.75" hidden="false" customHeight="true" outlineLevel="0" collapsed="false">
      <c r="A19" s="4" t="s">
        <v>73</v>
      </c>
      <c r="B19" s="4" t="s">
        <v>74</v>
      </c>
      <c r="C19" s="4" t="n">
        <v>1</v>
      </c>
      <c r="D19" s="4" t="s">
        <v>60</v>
      </c>
      <c r="E19" s="5" t="n">
        <v>150000</v>
      </c>
      <c r="F19" s="5" t="n">
        <v>300000</v>
      </c>
      <c r="G19" s="5" t="n">
        <f aca="false">(E19+F19)/2</f>
        <v>225000</v>
      </c>
      <c r="H19" s="5" t="n">
        <f aca="false">G19*C19</f>
        <v>225000</v>
      </c>
    </row>
    <row r="20" customFormat="false" ht="21.75" hidden="false" customHeight="true" outlineLevel="0" collapsed="false">
      <c r="A20" s="6" t="s">
        <v>75</v>
      </c>
      <c r="B20" s="6" t="s">
        <v>76</v>
      </c>
      <c r="C20" s="6" t="n">
        <v>1</v>
      </c>
      <c r="D20" s="6" t="s">
        <v>60</v>
      </c>
      <c r="E20" s="7" t="n">
        <v>150000</v>
      </c>
      <c r="F20" s="7" t="n">
        <v>300000</v>
      </c>
      <c r="G20" s="7" t="n">
        <f aca="false">(E20+F20)/2</f>
        <v>225000</v>
      </c>
      <c r="H20" s="7" t="n">
        <f aca="false">G20*C20</f>
        <v>225000</v>
      </c>
    </row>
    <row r="21" customFormat="false" ht="21.75" hidden="false" customHeight="true" outlineLevel="0" collapsed="false">
      <c r="A21" s="4" t="s">
        <v>77</v>
      </c>
      <c r="B21" s="4" t="s">
        <v>78</v>
      </c>
      <c r="C21" s="4" t="n">
        <v>1</v>
      </c>
      <c r="D21" s="4" t="s">
        <v>60</v>
      </c>
      <c r="E21" s="5" t="n">
        <v>200000</v>
      </c>
      <c r="F21" s="5" t="n">
        <v>500000</v>
      </c>
      <c r="G21" s="5" t="n">
        <f aca="false">(E21+F21)/2</f>
        <v>350000</v>
      </c>
      <c r="H21" s="5" t="n">
        <f aca="false">G21*C21</f>
        <v>350000</v>
      </c>
    </row>
    <row r="22" customFormat="false" ht="21.75" hidden="false" customHeight="true" outlineLevel="0" collapsed="false">
      <c r="A22" s="6" t="s">
        <v>79</v>
      </c>
      <c r="B22" s="6" t="s">
        <v>80</v>
      </c>
      <c r="C22" s="6" t="n">
        <v>3</v>
      </c>
      <c r="D22" s="6" t="s">
        <v>65</v>
      </c>
      <c r="E22" s="7" t="n">
        <v>15000</v>
      </c>
      <c r="F22" s="7" t="n">
        <v>30000</v>
      </c>
      <c r="G22" s="7" t="n">
        <f aca="false">(E22+F22)/2</f>
        <v>22500</v>
      </c>
      <c r="H22" s="7" t="n">
        <f aca="false">G22*C22</f>
        <v>67500</v>
      </c>
    </row>
    <row r="23" customFormat="false" ht="21.75" hidden="false" customHeight="true" outlineLevel="0" collapsed="false">
      <c r="A23" s="4" t="s">
        <v>81</v>
      </c>
      <c r="B23" s="4" t="s">
        <v>82</v>
      </c>
      <c r="C23" s="4" t="n">
        <v>20</v>
      </c>
      <c r="D23" s="4" t="s">
        <v>65</v>
      </c>
      <c r="E23" s="5" t="n">
        <v>8000</v>
      </c>
      <c r="F23" s="5" t="n">
        <v>15000</v>
      </c>
      <c r="G23" s="5" t="n">
        <f aca="false">(E23+F23)/2</f>
        <v>11500</v>
      </c>
      <c r="H23" s="5" t="n">
        <f aca="false">G23*C23</f>
        <v>230000</v>
      </c>
    </row>
    <row r="24" customFormat="false" ht="21.75" hidden="false" customHeight="true" outlineLevel="0" collapsed="false">
      <c r="A24" s="6" t="s">
        <v>83</v>
      </c>
      <c r="B24" s="6" t="s">
        <v>84</v>
      </c>
      <c r="C24" s="6" t="n">
        <v>1</v>
      </c>
      <c r="D24" s="6" t="s">
        <v>72</v>
      </c>
      <c r="E24" s="7" t="n">
        <v>150000</v>
      </c>
      <c r="F24" s="7" t="n">
        <v>300000</v>
      </c>
      <c r="G24" s="7" t="n">
        <f aca="false">(E24+F24)/2</f>
        <v>225000</v>
      </c>
      <c r="H24" s="7" t="n">
        <f aca="false">G24*C24</f>
        <v>225000</v>
      </c>
    </row>
    <row r="25" customFormat="false" ht="21.75" hidden="false" customHeight="true" outlineLevel="0" collapsed="false">
      <c r="A25" s="4" t="s">
        <v>85</v>
      </c>
      <c r="B25" s="4" t="s">
        <v>86</v>
      </c>
      <c r="C25" s="4" t="n">
        <v>3</v>
      </c>
      <c r="D25" s="4" t="s">
        <v>65</v>
      </c>
      <c r="E25" s="5" t="n">
        <v>20000</v>
      </c>
      <c r="F25" s="5" t="n">
        <v>35000</v>
      </c>
      <c r="G25" s="5" t="n">
        <f aca="false">(E25+F25)/2</f>
        <v>27500</v>
      </c>
      <c r="H25" s="5" t="n">
        <f aca="false">G25*C25</f>
        <v>82500</v>
      </c>
    </row>
    <row r="26" customFormat="false" ht="21.75" hidden="false" customHeight="true" outlineLevel="0" collapsed="false">
      <c r="A26" s="6" t="s">
        <v>87</v>
      </c>
      <c r="B26" s="6" t="s">
        <v>88</v>
      </c>
      <c r="C26" s="6" t="n">
        <v>1</v>
      </c>
      <c r="D26" s="6" t="s">
        <v>72</v>
      </c>
      <c r="E26" s="7" t="n">
        <v>500000</v>
      </c>
      <c r="F26" s="7" t="n">
        <v>800000</v>
      </c>
      <c r="G26" s="7" t="n">
        <f aca="false">(E26+F26)/2</f>
        <v>650000</v>
      </c>
      <c r="H26" s="7" t="n">
        <f aca="false">G26*C26</f>
        <v>650000</v>
      </c>
    </row>
    <row r="27" customFormat="false" ht="21.75" hidden="false" customHeight="true" outlineLevel="0" collapsed="false">
      <c r="A27" s="10" t="s">
        <v>89</v>
      </c>
      <c r="B27" s="10"/>
      <c r="C27" s="10"/>
      <c r="D27" s="10"/>
      <c r="E27" s="10"/>
      <c r="F27" s="10"/>
      <c r="G27" s="10"/>
      <c r="H27" s="11" t="n">
        <f aca="false">SUM(H11:H26)</f>
        <v>3451000</v>
      </c>
    </row>
    <row r="28" customFormat="false" ht="25.5" hidden="false" customHeight="true" outlineLevel="0" collapsed="false">
      <c r="A28" s="8" t="s">
        <v>90</v>
      </c>
      <c r="B28" s="8"/>
      <c r="C28" s="8"/>
      <c r="D28" s="8"/>
      <c r="E28" s="8"/>
      <c r="F28" s="8"/>
      <c r="G28" s="8"/>
      <c r="H28" s="9" t="n">
        <f aca="false">H8+H27</f>
        <v>28201000</v>
      </c>
    </row>
    <row r="29" customFormat="false" ht="21.75" hidden="false" customHeight="true" outlineLevel="0" collapsed="false">
      <c r="A29" s="10" t="s">
        <v>38</v>
      </c>
      <c r="B29" s="10"/>
      <c r="C29" s="10"/>
      <c r="D29" s="10"/>
      <c r="E29" s="10"/>
      <c r="F29" s="10"/>
      <c r="G29" s="10"/>
      <c r="H29" s="11" t="n">
        <f aca="false">H28*0.1</f>
        <v>2820100</v>
      </c>
    </row>
  </sheetData>
  <mergeCells count="4">
    <mergeCell ref="A1:H1"/>
    <mergeCell ref="A2:H2"/>
    <mergeCell ref="A4:H4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2026-07-16T13:08:37Z</dcterms:created>
  <dc:creator>openpyxl</dc:creator>
  <dc:description/>
  <dc:language>en-US</dc:language>
  <cp:lastModifiedBy/>
  <dcterms:modified xsi:type="dcterms:W3CDTF">2026-07-16T13:08:43Z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