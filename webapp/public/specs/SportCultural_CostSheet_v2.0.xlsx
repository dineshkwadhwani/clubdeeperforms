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cket &amp; Football - Civil" sheetId="1" state="visible" r:id="rId3"/>
    <sheet name="Indoor Sports Hall - Civil" sheetId="2" state="visible" r:id="rId4"/>
    <sheet name="Gymnasium &amp; Pool - Civil" sheetId="3" state="visible" r:id="rId5"/>
    <sheet name="Cricket &amp; Football - Fit-Out" sheetId="4" state="visible" r:id="rId6"/>
    <sheet name="Indoor Sports - Fit-Out" sheetId="5" state="visible" r:id="rId7"/>
    <sheet name="Gym &amp; Pool - Fit-Ou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<sst xmlns="http://schemas.openxmlformats.org/spreadsheetml/2006/main" count="258" uniqueCount="171">
  <si>
    <t xml:space="preserve">CRICKET &amp; FOOTBALL - CIVIL — CIVIL CONSTRUCTION COST</t>
  </si>
  <si>
    <t xml:space="preserve">Built-up: ₹2,500/sq ft (standard); ₹3,500/sq ft (indoor sports hall — 9m ceiling premium) | Open: ₹500/sq ft</t>
  </si>
  <si>
    <t xml:space="preserve">Component</t>
  </si>
  <si>
    <t xml:space="preserve">Area / Qty</t>
  </si>
  <si>
    <t xml:space="preserve">Unit</t>
  </si>
  <si>
    <t xml:space="preserve">Rate (₹)</t>
  </si>
  <si>
    <t xml:space="preserve">Total (₹)</t>
  </si>
  <si>
    <t xml:space="preserve">Notes</t>
  </si>
  <si>
    <t xml:space="preserve">Spectator stand (500 seats, roofed concrete structure)</t>
  </si>
  <si>
    <t xml:space="preserve">seats</t>
  </si>
  <si>
    <t xml:space="preserve">Covered stand; concrete; plastic seating</t>
  </si>
  <si>
    <t xml:space="preserve">Player facilities block (changing + showers + store + coach)</t>
  </si>
  <si>
    <t xml:space="preserve">sq ft</t>
  </si>
  <si>
    <t xml:space="preserve">Built-up structure</t>
  </si>
  <si>
    <t xml:space="preserve">Ground preparation (levelling + compaction + turf pitch)</t>
  </si>
  <si>
    <t xml:space="preserve">sq mt</t>
  </si>
  <si>
    <t xml:space="preserve">Cricket outfield levelling + main turf pitch</t>
  </si>
  <si>
    <t xml:space="preserve">Football artificial turf installation (90m × 60m)</t>
  </si>
  <si>
    <t xml:space="preserve">Basic artificial turf installed ₹600–1,000/sq mt</t>
  </si>
  <si>
    <t xml:space="preserve">Multi-sport hardcourts (basketball, volleyball, tennis)</t>
  </si>
  <si>
    <t xml:space="preserve">Hardcourt surface + line marking</t>
  </si>
  <si>
    <t xml:space="preserve">Running path (600m × 3m)</t>
  </si>
  <si>
    <t xml:space="preserve">Compacted + tarred running path</t>
  </si>
  <si>
    <t xml:space="preserve">Perimeter fencing — sports complex</t>
  </si>
  <si>
    <t xml:space="preserve">metres</t>
  </si>
  <si>
    <t xml:space="preserve">Chain link + MS posts</t>
  </si>
  <si>
    <t xml:space="preserve">Floodlight foundations + cable to towers (4 towers)</t>
  </si>
  <si>
    <t xml:space="preserve">towers</t>
  </si>
  <si>
    <t xml:space="preserve">Structural foundation + cable; lights in fit-out</t>
  </si>
  <si>
    <t xml:space="preserve">Sprinkler irrigation civil (pipes + valves + controller)</t>
  </si>
  <si>
    <t xml:space="preserve">lump sum</t>
  </si>
  <si>
    <t xml:space="preserve">Underground piping for automatic sprinkler</t>
  </si>
  <si>
    <t xml:space="preserve">CIVIL TOTAL — Cricket &amp; Football - Civi</t>
  </si>
  <si>
    <t xml:space="preserve">INDOOR SPORTS HALL - CIVIL — CIVIL CONSTRUCTION COST</t>
  </si>
  <si>
    <t xml:space="preserve">Indoor sports hall — long-span steel structure (9m ceiling)</t>
  </si>
  <si>
    <t xml:space="preserve">Sports hall premium: 9m ceiling + steel truss; no columns</t>
  </si>
  <si>
    <t xml:space="preserve">Squash court specialist construction (glass back wall)</t>
  </si>
  <si>
    <t xml:space="preserve">Toughened glass back wall + court finishing</t>
  </si>
  <si>
    <t xml:space="preserve">Retractable bleacher civil provisions (wall mounting)</t>
  </si>
  <si>
    <t xml:space="preserve">Structural wall anchors + tracks for retractable seating</t>
  </si>
  <si>
    <t xml:space="preserve">Changing rooms M+F (within hall)</t>
  </si>
  <si>
    <t xml:space="preserve">Part of hall FSI; included in 30,000 sq ft</t>
  </si>
  <si>
    <t xml:space="preserve">Equipment storage room (climate provision)</t>
  </si>
  <si>
    <t xml:space="preserve">Humidity-controlled storage; shelving provisions</t>
  </si>
  <si>
    <t xml:space="preserve">CIVIL TOTAL — Indoor Sports Hall - Civi</t>
  </si>
  <si>
    <t xml:space="preserve">GYMNASIUM &amp; POOL - CIVIL — CIVIL CONSTRUCTION COST</t>
  </si>
  <si>
    <t xml:space="preserve">Swimming pool — main (25m × 12.5m, RCC + waterproof + tiles)</t>
  </si>
  <si>
    <t xml:space="preserve">Turnkey pool construction; shell + filtration + UV + fittings</t>
  </si>
  <si>
    <t xml:space="preserve">Swimming pool — learner/children's shallow pool</t>
  </si>
  <si>
    <t xml:space="preserve">15m × 6m; 0.9m constant depth; separate filtration</t>
  </si>
  <si>
    <t xml:space="preserve">Pool deck (anti-slip tiles, 3m wide around pool)</t>
  </si>
  <si>
    <t xml:space="preserve">Anti-slip pool deck tiles installed</t>
  </si>
  <si>
    <t xml:space="preserve">Pool shade structure (tensile/polycarbonate)</t>
  </si>
  <si>
    <t xml:space="preserve">UV-resistant shade canopy over deck</t>
  </si>
  <si>
    <t xml:space="preserve">Pool changing rooms M/F + plant room</t>
  </si>
  <si>
    <t xml:space="preserve">Changing rooms + pump/filter room + chemical store</t>
  </si>
  <si>
    <t xml:space="preserve">Gymnasium building (3,000 sq ft)</t>
  </si>
  <si>
    <t xml:space="preserve">Gym + yoga hall + changing rooms</t>
  </si>
  <si>
    <t xml:space="preserve">CIVIL TOTAL — Gymnasium &amp; Pool - Civil</t>
  </si>
  <si>
    <t xml:space="preserve">CRICKET &amp; FOOTBALL - FIT-OUT — FIT-OUT &amp; EQUIPMENT</t>
  </si>
  <si>
    <t xml:space="preserve">Prices from Pune/Maharashtra market — July 2026.</t>
  </si>
  <si>
    <t xml:space="preserve">Item</t>
  </si>
  <si>
    <t xml:space="preserve">Qty</t>
  </si>
  <si>
    <t xml:space="preserve">Min Price (₹)</t>
  </si>
  <si>
    <t xml:space="preserve">Max Price (₹)</t>
  </si>
  <si>
    <t xml:space="preserve">Avg Price (₹)</t>
  </si>
  <si>
    <t xml:space="preserve">Bowling machine (cricket)</t>
  </si>
  <si>
    <t xml:space="preserve">Bowling machine India ₹1–2L</t>
  </si>
  <si>
    <t xml:space="preserve">unit</t>
  </si>
  <si>
    <t xml:space="preserve">Practice nets (2 covered + 2 open) with structure</t>
  </si>
  <si>
    <t xml:space="preserve">Net structure + netting India</t>
  </si>
  <si>
    <t xml:space="preserve">sets</t>
  </si>
  <si>
    <t xml:space="preserve">Digital LED scoreboard</t>
  </si>
  <si>
    <t xml:space="preserve">LED scoreboard India ₹2.5–5L</t>
  </si>
  <si>
    <t xml:space="preserve">Portable advertising boundary boards</t>
  </si>
  <si>
    <t xml:space="preserve">Plastic advertising board India</t>
  </si>
  <si>
    <t xml:space="preserve">units</t>
  </si>
  <si>
    <t xml:space="preserve">Floodlights (4 towers) — basic</t>
  </si>
  <si>
    <t xml:space="preserve">Basic floodlight tower installed India</t>
  </si>
  <si>
    <t xml:space="preserve">Cricket training kit (bat/pad/gloves/helmet × 15 sets)</t>
  </si>
  <si>
    <t xml:space="preserve">Training kit set India</t>
  </si>
  <si>
    <t xml:space="preserve">Footballs (match ×10 + training ×20)</t>
  </si>
  <si>
    <t xml:space="preserve">Match/training football India</t>
  </si>
  <si>
    <t xml:space="preserve">Football goal posts (portable full-size)</t>
  </si>
  <si>
    <t xml:space="preserve">Portable goal post India</t>
  </si>
  <si>
    <t xml:space="preserve">Groundsman equipment (mower + tractor + roller)</t>
  </si>
  <si>
    <t xml:space="preserve">Tractor + mower + roller set India</t>
  </si>
  <si>
    <t xml:space="preserve">set</t>
  </si>
  <si>
    <t xml:space="preserve">Automatic sprinkler irrigation system (installed)</t>
  </si>
  <si>
    <t xml:space="preserve">Sprinkler irrigation India</t>
  </si>
  <si>
    <t xml:space="preserve">system</t>
  </si>
  <si>
    <t xml:space="preserve">Spectator plastic seats (500 seats)</t>
  </si>
  <si>
    <t xml:space="preserve">Stadium plastic seat India</t>
  </si>
  <si>
    <t xml:space="preserve">Changing room lockers + benches per room</t>
  </si>
  <si>
    <t xml:space="preserve">Locker + bench + shower fitting per room</t>
  </si>
  <si>
    <t xml:space="preserve">rooms</t>
  </si>
  <si>
    <t xml:space="preserve">TOTAL — Cricket &amp; Football - Fit-Out</t>
  </si>
  <si>
    <t xml:space="preserve">Contingency (10%)</t>
  </si>
  <si>
    <t xml:space="preserve">INDOOR SPORTS - FIT-OUT — FIT-OUT &amp; EQUIPMENT</t>
  </si>
  <si>
    <t xml:space="preserve">Badminton court PVC vinyl flooring (3 courts, installed)</t>
  </si>
  <si>
    <t xml:space="preserve">PVC badminton flooring India ₹3.5–8L per court installed</t>
  </si>
  <si>
    <t xml:space="preserve">courts</t>
  </si>
  <si>
    <t xml:space="preserve">Badminton court wooden flooring (1 court — 20% wooden)</t>
  </si>
  <si>
    <t xml:space="preserve">Wooden badminton court India ₹8–15L</t>
  </si>
  <si>
    <t xml:space="preserve">court</t>
  </si>
  <si>
    <t xml:space="preserve">Badminton nets + posts (competition grade)</t>
  </si>
  <si>
    <t xml:space="preserve">Net + posts India ₹8,000–15,000 per set</t>
  </si>
  <si>
    <t xml:space="preserve">Table Tennis tables (ITTF standard, rollaway)</t>
  </si>
  <si>
    <t xml:space="preserve">TT table competition India</t>
  </si>
  <si>
    <t xml:space="preserve">Squash court glass back wall + finishes</t>
  </si>
  <si>
    <t xml:space="preserve">Glass back wall squash court India</t>
  </si>
  <si>
    <t xml:space="preserve">Boxing ring (full competition)</t>
  </si>
  <si>
    <t xml:space="preserve">Boxing ring India ₹1.5–3L</t>
  </si>
  <si>
    <t xml:space="preserve">ring</t>
  </si>
  <si>
    <t xml:space="preserve">Boxing training equipment (bags, gloves, headgear)</t>
  </si>
  <si>
    <t xml:space="preserve">Boxing training India</t>
  </si>
  <si>
    <t xml:space="preserve">Wrestling/gymnastics rubber mats (200 sq mt)</t>
  </si>
  <si>
    <t xml:space="preserve">Rubber gym mat India ₹500–1,200/sq mt</t>
  </si>
  <si>
    <t xml:space="preserve">Multi-purpose court flooring (basketball/volleyball)</t>
  </si>
  <si>
    <t xml:space="preserve">Sports flooring India ₹800–1,500/sq mt installed</t>
  </si>
  <si>
    <t xml:space="preserve">Basketball backboards + rings (indoor, 2 sets)</t>
  </si>
  <si>
    <t xml:space="preserve">Indoor basketball system India</t>
  </si>
  <si>
    <t xml:space="preserve">Volleyball net + standards (indoor competition)</t>
  </si>
  <si>
    <t xml:space="preserve">Indoor volleyball system India</t>
  </si>
  <si>
    <t xml:space="preserve">Retractable bleacher seating (500 seats)</t>
  </si>
  <si>
    <t xml:space="preserve">Retractable bleacher India ₹3,500–6,000/seat</t>
  </si>
  <si>
    <t xml:space="preserve">LED sports lighting system (9m height, 500 lux)</t>
  </si>
  <si>
    <t xml:space="preserve">Sports hall LED lighting India — ceiling height premium</t>
  </si>
  <si>
    <t xml:space="preserve">Deeper Coins court booking kiosks</t>
  </si>
  <si>
    <t xml:space="preserve">Eduval custom kiosk hardware</t>
  </si>
  <si>
    <t xml:space="preserve">Changing room fitment M+F (lockers, benches, mirrors)</t>
  </si>
  <si>
    <t xml:space="preserve">Changing room fit-out India</t>
  </si>
  <si>
    <t xml:space="preserve">TOTAL — Indoor Sports - Fit-Out</t>
  </si>
  <si>
    <t xml:space="preserve">GYM &amp; POOL - FIT-OUT — FIT-OUT &amp; EQUIPMENT</t>
  </si>
  <si>
    <t xml:space="preserve">Commercial treadmill (5 HP, motorised)</t>
  </si>
  <si>
    <t xml:space="preserve">Commercial treadmill India ₹80,000–1,50,000</t>
  </si>
  <si>
    <t xml:space="preserve">Commercial exercise bike</t>
  </si>
  <si>
    <t xml:space="preserve">Commercial cycle India</t>
  </si>
  <si>
    <t xml:space="preserve">Spinning bike</t>
  </si>
  <si>
    <t xml:space="preserve">Spinning bike India ₹20,000–35,000</t>
  </si>
  <si>
    <t xml:space="preserve">Elliptical cross trainer</t>
  </si>
  <si>
    <t xml:space="preserve">Commercial elliptical India</t>
  </si>
  <si>
    <t xml:space="preserve">Rowing machine</t>
  </si>
  <si>
    <t xml:space="preserve">Commercial rowing machine India</t>
  </si>
  <si>
    <t xml:space="preserve">Complete dumbbell set (2kg–50kg)</t>
  </si>
  <si>
    <t xml:space="preserve">Complete dumbbell + rack set India</t>
  </si>
  <si>
    <t xml:space="preserve">Olympic barbell + plates set</t>
  </si>
  <si>
    <t xml:space="preserve">Olympic barbell set India ₹25,000–40,000</t>
  </si>
  <si>
    <t xml:space="preserve">Power rack / squat cage</t>
  </si>
  <si>
    <t xml:space="preserve">Commercial power rack India</t>
  </si>
  <si>
    <t xml:space="preserve">Multi-station cable machine</t>
  </si>
  <si>
    <t xml:space="preserve">Commercial cable machine India</t>
  </si>
  <si>
    <t xml:space="preserve">Leg press machine</t>
  </si>
  <si>
    <t xml:space="preserve">Commercial leg press India</t>
  </si>
  <si>
    <t xml:space="preserve">Lat pulldown + row machine</t>
  </si>
  <si>
    <t xml:space="preserve">Commercial lat pulldown India</t>
  </si>
  <si>
    <t xml:space="preserve">Yoga mats (premium)</t>
  </si>
  <si>
    <t xml:space="preserve">Premium yoga mat India</t>
  </si>
  <si>
    <t xml:space="preserve">Rubber gym flooring (2,400 sq ft)</t>
  </si>
  <si>
    <t xml:space="preserve">Rubber gym flooring India ₹60–100/sq ft installed</t>
  </si>
  <si>
    <t xml:space="preserve">Pool filtration system (sand filter + pump + UV)</t>
  </si>
  <si>
    <t xml:space="preserve">Commercial pool filtration India</t>
  </si>
  <si>
    <t xml:space="preserve">Pool lane ropes (8 lanes)</t>
  </si>
  <si>
    <t xml:space="preserve">Competition lane rope India</t>
  </si>
  <si>
    <t xml:space="preserve">Starting blocks (8 nos.)</t>
  </si>
  <si>
    <t xml:space="preserve">Starting block India</t>
  </si>
  <si>
    <t xml:space="preserve">Pool loungers (teak, 50 chairs)</t>
  </si>
  <si>
    <t xml:space="preserve">Teak pool lounger India ₹6,000–12,000</t>
  </si>
  <si>
    <t xml:space="preserve">F&amp;B kiosk equipment (pool side)</t>
  </si>
  <si>
    <t xml:space="preserve">Coffee machine + display fridge + counter</t>
  </si>
  <si>
    <t xml:space="preserve">TOTAL — Gym &amp; Pool - Fit-Out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</si>
</sst>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0"/>
      <color rgb="FF1A237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00695C"/>
      </patternFill>
    </fill>
    <fill>
      <patternFill patternType="solid">
        <fgColor rgb="FFFFF8E1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8E1"/>
      </patternFill>
    </fill>
    <fill>
      <patternFill patternType="solid">
        <fgColor rgb="FF00695C"/>
        <bgColor rgb="FF008080"/>
      </patternFill>
    </fill>
    <fill>
      <patternFill patternType="solid">
        <fgColor rgb="FF1565C0"/>
        <bgColor rgb="FF3366FF"/>
      </patternFill>
    </fill>
    <fill>
      <patternFill patternType="solid">
        <fgColor rgb="FFE8F5E9"/>
        <bgColor rgb="FFF5F5F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1B5E20"/>
      </left>
      <right/>
      <top style="medium">
        <color rgb="FF1B5E20"/>
      </top>
      <bottom style="medium">
        <color rgb="FF1B5E20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 diagonalUp="false" diagonalDown="false">
      <left style="medium">
        <color rgb="FF00695C"/>
      </left>
      <right/>
      <top style="medium">
        <color rgb="FF00695C"/>
      </top>
      <bottom style="medium">
        <color rgb="FF00695C"/>
      </bottom>
      <diagonal/>
    </border>
    <border diagonalUp="false" diagonalDown="false">
      <left style="medium">
        <color rgb="FF1565C0"/>
      </left>
      <right/>
      <top style="medium">
        <color rgb="FF1565C0"/>
      </top>
      <bottom style="medium">
        <color rgb="FF1565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237E"/>
      <rgbColor rgb="FF339966"/>
      <rgbColor rgb="FF003300"/>
      <rgbColor rgb="FF333300"/>
      <rgbColor rgb="FF993300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4" t="n">
        <v>500</v>
      </c>
      <c r="C5" s="4" t="s">
        <v>9</v>
      </c>
      <c r="D5" s="5" t="n">
        <v>15000</v>
      </c>
      <c r="E5" s="4" t="s">
        <v>10</v>
      </c>
    </row>
    <row r="6" customFormat="false" ht="21.75" hidden="false" customHeight="true" outlineLevel="0" collapsed="false">
      <c r="A6" s="6" t="s">
        <v>11</v>
      </c>
      <c r="B6" s="6" t="n">
        <v>2000</v>
      </c>
      <c r="C6" s="6" t="s">
        <v>12</v>
      </c>
      <c r="D6" s="7" t="n">
        <v>2500</v>
      </c>
      <c r="E6" s="6" t="s">
        <v>13</v>
      </c>
    </row>
    <row r="7" customFormat="false" ht="21.75" hidden="false" customHeight="true" outlineLevel="0" collapsed="false">
      <c r="A7" s="4" t="s">
        <v>14</v>
      </c>
      <c r="B7" s="4" t="n">
        <v>13300</v>
      </c>
      <c r="C7" s="4" t="s">
        <v>15</v>
      </c>
      <c r="D7" s="5" t="n">
        <v>300</v>
      </c>
      <c r="E7" s="4" t="s">
        <v>16</v>
      </c>
    </row>
    <row r="8" customFormat="false" ht="21.75" hidden="false" customHeight="true" outlineLevel="0" collapsed="false">
      <c r="A8" s="6" t="s">
        <v>17</v>
      </c>
      <c r="B8" s="6" t="n">
        <v>5400</v>
      </c>
      <c r="C8" s="6" t="s">
        <v>15</v>
      </c>
      <c r="D8" s="7" t="n">
        <v>800</v>
      </c>
      <c r="E8" s="6" t="s">
        <v>18</v>
      </c>
    </row>
    <row r="9" customFormat="false" ht="21.75" hidden="false" customHeight="true" outlineLevel="0" collapsed="false">
      <c r="A9" s="4" t="s">
        <v>19</v>
      </c>
      <c r="B9" s="4" t="n">
        <v>2000</v>
      </c>
      <c r="C9" s="4" t="s">
        <v>15</v>
      </c>
      <c r="D9" s="5" t="n">
        <v>600</v>
      </c>
      <c r="E9" s="4" t="s">
        <v>20</v>
      </c>
    </row>
    <row r="10" customFormat="false" ht="21.75" hidden="false" customHeight="true" outlineLevel="0" collapsed="false">
      <c r="A10" s="6" t="s">
        <v>21</v>
      </c>
      <c r="B10" s="6" t="n">
        <v>1800</v>
      </c>
      <c r="C10" s="6" t="s">
        <v>15</v>
      </c>
      <c r="D10" s="7" t="n">
        <v>300</v>
      </c>
      <c r="E10" s="6" t="s">
        <v>22</v>
      </c>
    </row>
    <row r="11" customFormat="false" ht="21.75" hidden="false" customHeight="true" outlineLevel="0" collapsed="false">
      <c r="A11" s="4" t="s">
        <v>23</v>
      </c>
      <c r="B11" s="4" t="n">
        <v>800</v>
      </c>
      <c r="C11" s="4" t="s">
        <v>24</v>
      </c>
      <c r="D11" s="5" t="n">
        <v>400</v>
      </c>
      <c r="E11" s="4" t="s">
        <v>25</v>
      </c>
    </row>
    <row r="12" customFormat="false" ht="21.75" hidden="false" customHeight="true" outlineLevel="0" collapsed="false">
      <c r="A12" s="6" t="s">
        <v>26</v>
      </c>
      <c r="B12" s="6" t="n">
        <v>4</v>
      </c>
      <c r="C12" s="6" t="s">
        <v>27</v>
      </c>
      <c r="D12" s="7" t="n">
        <v>100000</v>
      </c>
      <c r="E12" s="6" t="s">
        <v>28</v>
      </c>
    </row>
    <row r="13" customFormat="false" ht="21.75" hidden="false" customHeight="true" outlineLevel="0" collapsed="false">
      <c r="A13" s="4" t="s">
        <v>29</v>
      </c>
      <c r="B13" s="4" t="n">
        <v>1</v>
      </c>
      <c r="C13" s="4" t="s">
        <v>30</v>
      </c>
      <c r="D13" s="5" t="n">
        <v>400000</v>
      </c>
      <c r="E13" s="4" t="s">
        <v>31</v>
      </c>
    </row>
    <row r="14" customFormat="false" ht="25.5" hidden="false" customHeight="true" outlineLevel="0" collapsed="false">
      <c r="A14" s="8" t="s">
        <v>32</v>
      </c>
      <c r="B14" s="8"/>
      <c r="C14" s="8"/>
      <c r="D14" s="8"/>
      <c r="E14" s="9" t="n">
        <f aca="false">SUM(E5:E13)</f>
        <v>0</v>
      </c>
      <c r="F14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0" t="s">
        <v>33</v>
      </c>
      <c r="B1" s="10"/>
      <c r="C1" s="10"/>
      <c r="D1" s="10"/>
      <c r="E1" s="10"/>
      <c r="F1" s="10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customFormat="false" ht="21.75" hidden="false" customHeight="true" outlineLevel="0" collapsed="false">
      <c r="A5" s="4" t="s">
        <v>34</v>
      </c>
      <c r="B5" s="4" t="n">
        <v>30000</v>
      </c>
      <c r="C5" s="4" t="s">
        <v>12</v>
      </c>
      <c r="D5" s="5" t="n">
        <v>3500</v>
      </c>
      <c r="E5" s="4" t="s">
        <v>35</v>
      </c>
    </row>
    <row r="6" customFormat="false" ht="21.75" hidden="false" customHeight="true" outlineLevel="0" collapsed="false">
      <c r="A6" s="6" t="s">
        <v>36</v>
      </c>
      <c r="B6" s="6" t="n">
        <v>1</v>
      </c>
      <c r="C6" s="6" t="s">
        <v>30</v>
      </c>
      <c r="D6" s="7" t="n">
        <v>500000</v>
      </c>
      <c r="E6" s="6" t="s">
        <v>37</v>
      </c>
    </row>
    <row r="7" customFormat="false" ht="21.75" hidden="false" customHeight="true" outlineLevel="0" collapsed="false">
      <c r="A7" s="4" t="s">
        <v>38</v>
      </c>
      <c r="B7" s="4" t="n">
        <v>1</v>
      </c>
      <c r="C7" s="4" t="s">
        <v>30</v>
      </c>
      <c r="D7" s="5" t="n">
        <v>200000</v>
      </c>
      <c r="E7" s="4" t="s">
        <v>39</v>
      </c>
    </row>
    <row r="8" customFormat="false" ht="21.75" hidden="false" customHeight="true" outlineLevel="0" collapsed="false">
      <c r="A8" s="6" t="s">
        <v>40</v>
      </c>
      <c r="B8" s="6" t="n">
        <v>400</v>
      </c>
      <c r="C8" s="6" t="s">
        <v>12</v>
      </c>
      <c r="D8" s="7" t="n">
        <v>2500</v>
      </c>
      <c r="E8" s="6" t="s">
        <v>41</v>
      </c>
    </row>
    <row r="9" customFormat="false" ht="21.75" hidden="false" customHeight="true" outlineLevel="0" collapsed="false">
      <c r="A9" s="4" t="s">
        <v>42</v>
      </c>
      <c r="B9" s="4" t="n">
        <v>50</v>
      </c>
      <c r="C9" s="4" t="s">
        <v>15</v>
      </c>
      <c r="D9" s="5" t="n">
        <v>3000</v>
      </c>
      <c r="E9" s="4" t="s">
        <v>43</v>
      </c>
    </row>
    <row r="10" customFormat="false" ht="25.5" hidden="false" customHeight="true" outlineLevel="0" collapsed="false">
      <c r="A10" s="8" t="s">
        <v>44</v>
      </c>
      <c r="B10" s="8"/>
      <c r="C10" s="8"/>
      <c r="D10" s="8"/>
      <c r="E10" s="9" t="n">
        <f aca="false">SUM(E5:E9)</f>
        <v>0</v>
      </c>
      <c r="F10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2" t="s">
        <v>45</v>
      </c>
      <c r="B1" s="12"/>
      <c r="C1" s="12"/>
      <c r="D1" s="12"/>
      <c r="E1" s="12"/>
      <c r="F1" s="12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</row>
    <row r="5" customFormat="false" ht="21.75" hidden="false" customHeight="true" outlineLevel="0" collapsed="false">
      <c r="A5" s="4" t="s">
        <v>46</v>
      </c>
      <c r="B5" s="4" t="n">
        <v>1</v>
      </c>
      <c r="C5" s="4" t="s">
        <v>30</v>
      </c>
      <c r="D5" s="5" t="n">
        <v>8000000</v>
      </c>
      <c r="E5" s="4" t="s">
        <v>47</v>
      </c>
    </row>
    <row r="6" customFormat="false" ht="21.75" hidden="false" customHeight="true" outlineLevel="0" collapsed="false">
      <c r="A6" s="6" t="s">
        <v>48</v>
      </c>
      <c r="B6" s="6" t="n">
        <v>1</v>
      </c>
      <c r="C6" s="6" t="s">
        <v>30</v>
      </c>
      <c r="D6" s="7" t="n">
        <v>2000000</v>
      </c>
      <c r="E6" s="6" t="s">
        <v>49</v>
      </c>
    </row>
    <row r="7" customFormat="false" ht="21.75" hidden="false" customHeight="true" outlineLevel="0" collapsed="false">
      <c r="A7" s="4" t="s">
        <v>50</v>
      </c>
      <c r="B7" s="4" t="n">
        <v>500</v>
      </c>
      <c r="C7" s="4" t="s">
        <v>15</v>
      </c>
      <c r="D7" s="5" t="n">
        <v>2500</v>
      </c>
      <c r="E7" s="4" t="s">
        <v>51</v>
      </c>
    </row>
    <row r="8" customFormat="false" ht="21.75" hidden="false" customHeight="true" outlineLevel="0" collapsed="false">
      <c r="A8" s="6" t="s">
        <v>52</v>
      </c>
      <c r="B8" s="6" t="n">
        <v>200</v>
      </c>
      <c r="C8" s="6" t="s">
        <v>15</v>
      </c>
      <c r="D8" s="7" t="n">
        <v>3000</v>
      </c>
      <c r="E8" s="6" t="s">
        <v>53</v>
      </c>
    </row>
    <row r="9" customFormat="false" ht="21.75" hidden="false" customHeight="true" outlineLevel="0" collapsed="false">
      <c r="A9" s="4" t="s">
        <v>54</v>
      </c>
      <c r="B9" s="4" t="n">
        <v>280</v>
      </c>
      <c r="C9" s="4" t="s">
        <v>15</v>
      </c>
      <c r="D9" s="5" t="n">
        <v>3000</v>
      </c>
      <c r="E9" s="4" t="s">
        <v>55</v>
      </c>
    </row>
    <row r="10" customFormat="false" ht="21.75" hidden="false" customHeight="true" outlineLevel="0" collapsed="false">
      <c r="A10" s="6" t="s">
        <v>56</v>
      </c>
      <c r="B10" s="6" t="n">
        <v>3000</v>
      </c>
      <c r="C10" s="6" t="s">
        <v>12</v>
      </c>
      <c r="D10" s="7" t="n">
        <v>2500</v>
      </c>
      <c r="E10" s="6" t="s">
        <v>57</v>
      </c>
    </row>
    <row r="11" customFormat="false" ht="25.5" hidden="false" customHeight="true" outlineLevel="0" collapsed="false">
      <c r="A11" s="8" t="s">
        <v>58</v>
      </c>
      <c r="B11" s="8"/>
      <c r="C11" s="8"/>
      <c r="D11" s="8"/>
      <c r="E11" s="9" t="n">
        <f aca="false">SUM(E5:E10)</f>
        <v>0</v>
      </c>
      <c r="F11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</row>
    <row r="2" customFormat="false" ht="12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61</v>
      </c>
      <c r="B4" s="3" t="s">
        <v>7</v>
      </c>
      <c r="C4" s="3" t="s">
        <v>62</v>
      </c>
      <c r="D4" s="3" t="s">
        <v>4</v>
      </c>
      <c r="E4" s="3" t="s">
        <v>63</v>
      </c>
      <c r="F4" s="3" t="s">
        <v>64</v>
      </c>
      <c r="G4" s="3" t="s">
        <v>65</v>
      </c>
      <c r="H4" s="3" t="s">
        <v>6</v>
      </c>
    </row>
    <row r="5" customFormat="false" ht="21.75" hidden="false" customHeight="true" outlineLevel="0" collapsed="false">
      <c r="A5" s="4" t="s">
        <v>66</v>
      </c>
      <c r="B5" s="4" t="s">
        <v>67</v>
      </c>
      <c r="C5" s="4" t="n">
        <v>1</v>
      </c>
      <c r="D5" s="4" t="s">
        <v>68</v>
      </c>
      <c r="E5" s="5" t="n">
        <v>100000</v>
      </c>
      <c r="F5" s="5" t="n">
        <v>200000</v>
      </c>
      <c r="G5" s="5" t="n">
        <f aca="false">(E5+F5)/2</f>
        <v>150000</v>
      </c>
      <c r="H5" s="5" t="n">
        <f aca="false">G5*C5</f>
        <v>150000</v>
      </c>
    </row>
    <row r="6" customFormat="false" ht="21.75" hidden="false" customHeight="true" outlineLevel="0" collapsed="false">
      <c r="A6" s="6" t="s">
        <v>69</v>
      </c>
      <c r="B6" s="6" t="s">
        <v>70</v>
      </c>
      <c r="C6" s="6" t="n">
        <v>4</v>
      </c>
      <c r="D6" s="6" t="s">
        <v>71</v>
      </c>
      <c r="E6" s="7" t="n">
        <v>60000</v>
      </c>
      <c r="F6" s="7" t="n">
        <v>100000</v>
      </c>
      <c r="G6" s="7" t="n">
        <f aca="false">(E6+F6)/2</f>
        <v>80000</v>
      </c>
      <c r="H6" s="7" t="n">
        <f aca="false">G6*C6</f>
        <v>320000</v>
      </c>
    </row>
    <row r="7" customFormat="false" ht="21.75" hidden="false" customHeight="true" outlineLevel="0" collapsed="false">
      <c r="A7" s="4" t="s">
        <v>72</v>
      </c>
      <c r="B7" s="4" t="s">
        <v>73</v>
      </c>
      <c r="C7" s="4" t="n">
        <v>1</v>
      </c>
      <c r="D7" s="4" t="s">
        <v>68</v>
      </c>
      <c r="E7" s="5" t="n">
        <v>250000</v>
      </c>
      <c r="F7" s="5" t="n">
        <v>500000</v>
      </c>
      <c r="G7" s="5" t="n">
        <f aca="false">(E7+F7)/2</f>
        <v>375000</v>
      </c>
      <c r="H7" s="5" t="n">
        <f aca="false">G7*C7</f>
        <v>375000</v>
      </c>
    </row>
    <row r="8" customFormat="false" ht="21.75" hidden="false" customHeight="true" outlineLevel="0" collapsed="false">
      <c r="A8" s="6" t="s">
        <v>74</v>
      </c>
      <c r="B8" s="6" t="s">
        <v>75</v>
      </c>
      <c r="C8" s="6" t="n">
        <v>50</v>
      </c>
      <c r="D8" s="6" t="s">
        <v>76</v>
      </c>
      <c r="E8" s="7" t="n">
        <v>1500</v>
      </c>
      <c r="F8" s="7" t="n">
        <v>2500</v>
      </c>
      <c r="G8" s="7" t="n">
        <f aca="false">(E8+F8)/2</f>
        <v>2000</v>
      </c>
      <c r="H8" s="7" t="n">
        <f aca="false">G8*C8</f>
        <v>100000</v>
      </c>
    </row>
    <row r="9" customFormat="false" ht="21.75" hidden="false" customHeight="true" outlineLevel="0" collapsed="false">
      <c r="A9" s="4" t="s">
        <v>77</v>
      </c>
      <c r="B9" s="4" t="s">
        <v>78</v>
      </c>
      <c r="C9" s="4" t="n">
        <v>4</v>
      </c>
      <c r="D9" s="4" t="s">
        <v>27</v>
      </c>
      <c r="E9" s="5" t="n">
        <v>250000</v>
      </c>
      <c r="F9" s="5" t="n">
        <v>400000</v>
      </c>
      <c r="G9" s="5" t="n">
        <f aca="false">(E9+F9)/2</f>
        <v>325000</v>
      </c>
      <c r="H9" s="5" t="n">
        <f aca="false">G9*C9</f>
        <v>1300000</v>
      </c>
    </row>
    <row r="10" customFormat="false" ht="21.75" hidden="false" customHeight="true" outlineLevel="0" collapsed="false">
      <c r="A10" s="6" t="s">
        <v>79</v>
      </c>
      <c r="B10" s="6" t="s">
        <v>80</v>
      </c>
      <c r="C10" s="6" t="n">
        <v>15</v>
      </c>
      <c r="D10" s="6" t="s">
        <v>71</v>
      </c>
      <c r="E10" s="7" t="n">
        <v>10000</v>
      </c>
      <c r="F10" s="7" t="n">
        <v>15000</v>
      </c>
      <c r="G10" s="7" t="n">
        <f aca="false">(E10+F10)/2</f>
        <v>12500</v>
      </c>
      <c r="H10" s="7" t="n">
        <f aca="false">G10*C10</f>
        <v>187500</v>
      </c>
    </row>
    <row r="11" customFormat="false" ht="21.75" hidden="false" customHeight="true" outlineLevel="0" collapsed="false">
      <c r="A11" s="4" t="s">
        <v>81</v>
      </c>
      <c r="B11" s="4" t="s">
        <v>82</v>
      </c>
      <c r="C11" s="4" t="n">
        <v>30</v>
      </c>
      <c r="D11" s="4" t="s">
        <v>76</v>
      </c>
      <c r="E11" s="5" t="n">
        <v>2000</v>
      </c>
      <c r="F11" s="5" t="n">
        <v>3500</v>
      </c>
      <c r="G11" s="5" t="n">
        <f aca="false">(E11+F11)/2</f>
        <v>2750</v>
      </c>
      <c r="H11" s="5" t="n">
        <f aca="false">G11*C11</f>
        <v>82500</v>
      </c>
    </row>
    <row r="12" customFormat="false" ht="21.75" hidden="false" customHeight="true" outlineLevel="0" collapsed="false">
      <c r="A12" s="6" t="s">
        <v>83</v>
      </c>
      <c r="B12" s="6" t="s">
        <v>84</v>
      </c>
      <c r="C12" s="6" t="n">
        <v>4</v>
      </c>
      <c r="D12" s="6" t="s">
        <v>76</v>
      </c>
      <c r="E12" s="7" t="n">
        <v>12000</v>
      </c>
      <c r="F12" s="7" t="n">
        <v>20000</v>
      </c>
      <c r="G12" s="7" t="n">
        <f aca="false">(E12+F12)/2</f>
        <v>16000</v>
      </c>
      <c r="H12" s="7" t="n">
        <f aca="false">G12*C12</f>
        <v>64000</v>
      </c>
    </row>
    <row r="13" customFormat="false" ht="21.75" hidden="false" customHeight="true" outlineLevel="0" collapsed="false">
      <c r="A13" s="4" t="s">
        <v>85</v>
      </c>
      <c r="B13" s="4" t="s">
        <v>86</v>
      </c>
      <c r="C13" s="4" t="n">
        <v>1</v>
      </c>
      <c r="D13" s="4" t="s">
        <v>87</v>
      </c>
      <c r="E13" s="5" t="n">
        <v>400000</v>
      </c>
      <c r="F13" s="5" t="n">
        <v>700000</v>
      </c>
      <c r="G13" s="5" t="n">
        <f aca="false">(E13+F13)/2</f>
        <v>550000</v>
      </c>
      <c r="H13" s="5" t="n">
        <f aca="false">G13*C13</f>
        <v>550000</v>
      </c>
    </row>
    <row r="14" customFormat="false" ht="21.75" hidden="false" customHeight="true" outlineLevel="0" collapsed="false">
      <c r="A14" s="6" t="s">
        <v>88</v>
      </c>
      <c r="B14" s="6" t="s">
        <v>89</v>
      </c>
      <c r="C14" s="6" t="n">
        <v>1</v>
      </c>
      <c r="D14" s="6" t="s">
        <v>90</v>
      </c>
      <c r="E14" s="7" t="n">
        <v>600000</v>
      </c>
      <c r="F14" s="7" t="n">
        <v>1000000</v>
      </c>
      <c r="G14" s="7" t="n">
        <f aca="false">(E14+F14)/2</f>
        <v>800000</v>
      </c>
      <c r="H14" s="7" t="n">
        <f aca="false">G14*C14</f>
        <v>800000</v>
      </c>
    </row>
    <row r="15" customFormat="false" ht="21.75" hidden="false" customHeight="true" outlineLevel="0" collapsed="false">
      <c r="A15" s="4" t="s">
        <v>91</v>
      </c>
      <c r="B15" s="4" t="s">
        <v>92</v>
      </c>
      <c r="C15" s="4" t="n">
        <v>500</v>
      </c>
      <c r="D15" s="4" t="s">
        <v>9</v>
      </c>
      <c r="E15" s="5" t="n">
        <v>2000</v>
      </c>
      <c r="F15" s="5" t="n">
        <v>3000</v>
      </c>
      <c r="G15" s="5" t="n">
        <f aca="false">(E15+F15)/2</f>
        <v>2500</v>
      </c>
      <c r="H15" s="5" t="n">
        <f aca="false">G15*C15</f>
        <v>1250000</v>
      </c>
    </row>
    <row r="16" customFormat="false" ht="21.75" hidden="false" customHeight="true" outlineLevel="0" collapsed="false">
      <c r="A16" s="6" t="s">
        <v>93</v>
      </c>
      <c r="B16" s="6" t="s">
        <v>94</v>
      </c>
      <c r="C16" s="6" t="n">
        <v>2</v>
      </c>
      <c r="D16" s="6" t="s">
        <v>95</v>
      </c>
      <c r="E16" s="7" t="n">
        <v>200000</v>
      </c>
      <c r="F16" s="7" t="n">
        <v>350000</v>
      </c>
      <c r="G16" s="7" t="n">
        <f aca="false">(E16+F16)/2</f>
        <v>275000</v>
      </c>
      <c r="H16" s="7" t="n">
        <f aca="false">G16*C16</f>
        <v>550000</v>
      </c>
    </row>
    <row r="17" customFormat="false" ht="25.5" hidden="false" customHeight="true" outlineLevel="0" collapsed="false">
      <c r="A17" s="8" t="s">
        <v>96</v>
      </c>
      <c r="B17" s="8"/>
      <c r="C17" s="8"/>
      <c r="D17" s="8"/>
      <c r="E17" s="8"/>
      <c r="F17" s="8"/>
      <c r="G17" s="8"/>
      <c r="H17" s="9" t="n">
        <f aca="false">SUM(H5:H16)</f>
        <v>5729000</v>
      </c>
    </row>
    <row r="18" customFormat="false" ht="21.75" hidden="false" customHeight="true" outlineLevel="0" collapsed="false">
      <c r="A18" s="14" t="s">
        <v>97</v>
      </c>
      <c r="B18" s="14"/>
      <c r="C18" s="14"/>
      <c r="D18" s="14"/>
      <c r="E18" s="14"/>
      <c r="F18" s="14"/>
      <c r="G18" s="14"/>
      <c r="H18" s="15" t="n">
        <f aca="false">H17*0.1</f>
        <v>572900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0" t="s">
        <v>98</v>
      </c>
      <c r="B1" s="10"/>
      <c r="C1" s="10"/>
      <c r="D1" s="10"/>
      <c r="E1" s="10"/>
      <c r="F1" s="10"/>
      <c r="G1" s="10"/>
      <c r="H1" s="10"/>
    </row>
    <row r="2" customFormat="false" ht="12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false" outlineLevel="0" collapsed="false">
      <c r="A4" s="11" t="s">
        <v>61</v>
      </c>
      <c r="B4" s="11" t="s">
        <v>7</v>
      </c>
      <c r="C4" s="11" t="s">
        <v>62</v>
      </c>
      <c r="D4" s="11" t="s">
        <v>4</v>
      </c>
      <c r="E4" s="11" t="s">
        <v>63</v>
      </c>
      <c r="F4" s="11" t="s">
        <v>64</v>
      </c>
      <c r="G4" s="11" t="s">
        <v>65</v>
      </c>
      <c r="H4" s="11" t="s">
        <v>6</v>
      </c>
    </row>
    <row r="5" customFormat="false" ht="21.75" hidden="false" customHeight="true" outlineLevel="0" collapsed="false">
      <c r="A5" s="4" t="s">
        <v>99</v>
      </c>
      <c r="B5" s="4" t="s">
        <v>100</v>
      </c>
      <c r="C5" s="4" t="n">
        <v>3</v>
      </c>
      <c r="D5" s="4" t="s">
        <v>101</v>
      </c>
      <c r="E5" s="5" t="n">
        <v>350000</v>
      </c>
      <c r="F5" s="5" t="n">
        <v>800000</v>
      </c>
      <c r="G5" s="5" t="n">
        <f aca="false">(E5+F5)/2</f>
        <v>575000</v>
      </c>
      <c r="H5" s="5" t="n">
        <f aca="false">G5*C5</f>
        <v>1725000</v>
      </c>
    </row>
    <row r="6" customFormat="false" ht="21.75" hidden="false" customHeight="true" outlineLevel="0" collapsed="false">
      <c r="A6" s="6" t="s">
        <v>102</v>
      </c>
      <c r="B6" s="6" t="s">
        <v>103</v>
      </c>
      <c r="C6" s="6" t="n">
        <v>1</v>
      </c>
      <c r="D6" s="6" t="s">
        <v>104</v>
      </c>
      <c r="E6" s="7" t="n">
        <v>800000</v>
      </c>
      <c r="F6" s="7" t="n">
        <v>1500000</v>
      </c>
      <c r="G6" s="7" t="n">
        <f aca="false">(E6+F6)/2</f>
        <v>1150000</v>
      </c>
      <c r="H6" s="7" t="n">
        <f aca="false">G6*C6</f>
        <v>1150000</v>
      </c>
    </row>
    <row r="7" customFormat="false" ht="21.75" hidden="false" customHeight="true" outlineLevel="0" collapsed="false">
      <c r="A7" s="4" t="s">
        <v>105</v>
      </c>
      <c r="B7" s="4" t="s">
        <v>106</v>
      </c>
      <c r="C7" s="4" t="n">
        <v>3</v>
      </c>
      <c r="D7" s="4" t="s">
        <v>71</v>
      </c>
      <c r="E7" s="5" t="n">
        <v>8000</v>
      </c>
      <c r="F7" s="5" t="n">
        <v>15000</v>
      </c>
      <c r="G7" s="5" t="n">
        <f aca="false">(E7+F7)/2</f>
        <v>11500</v>
      </c>
      <c r="H7" s="5" t="n">
        <f aca="false">G7*C7</f>
        <v>34500</v>
      </c>
    </row>
    <row r="8" customFormat="false" ht="21.75" hidden="false" customHeight="true" outlineLevel="0" collapsed="false">
      <c r="A8" s="6" t="s">
        <v>107</v>
      </c>
      <c r="B8" s="6" t="s">
        <v>108</v>
      </c>
      <c r="C8" s="6" t="n">
        <v>3</v>
      </c>
      <c r="D8" s="6" t="s">
        <v>76</v>
      </c>
      <c r="E8" s="7" t="n">
        <v>25000</v>
      </c>
      <c r="F8" s="7" t="n">
        <v>50000</v>
      </c>
      <c r="G8" s="7" t="n">
        <f aca="false">(E8+F8)/2</f>
        <v>37500</v>
      </c>
      <c r="H8" s="7" t="n">
        <f aca="false">G8*C8</f>
        <v>112500</v>
      </c>
    </row>
    <row r="9" customFormat="false" ht="21.75" hidden="false" customHeight="true" outlineLevel="0" collapsed="false">
      <c r="A9" s="4" t="s">
        <v>109</v>
      </c>
      <c r="B9" s="4" t="s">
        <v>110</v>
      </c>
      <c r="C9" s="4" t="n">
        <v>1</v>
      </c>
      <c r="D9" s="4" t="s">
        <v>87</v>
      </c>
      <c r="E9" s="5" t="n">
        <v>300000</v>
      </c>
      <c r="F9" s="5" t="n">
        <v>500000</v>
      </c>
      <c r="G9" s="5" t="n">
        <f aca="false">(E9+F9)/2</f>
        <v>400000</v>
      </c>
      <c r="H9" s="5" t="n">
        <f aca="false">G9*C9</f>
        <v>400000</v>
      </c>
    </row>
    <row r="10" customFormat="false" ht="21.75" hidden="false" customHeight="true" outlineLevel="0" collapsed="false">
      <c r="A10" s="6" t="s">
        <v>111</v>
      </c>
      <c r="B10" s="6" t="s">
        <v>112</v>
      </c>
      <c r="C10" s="6" t="n">
        <v>1</v>
      </c>
      <c r="D10" s="6" t="s">
        <v>113</v>
      </c>
      <c r="E10" s="7" t="n">
        <v>150000</v>
      </c>
      <c r="F10" s="7" t="n">
        <v>300000</v>
      </c>
      <c r="G10" s="7" t="n">
        <f aca="false">(E10+F10)/2</f>
        <v>225000</v>
      </c>
      <c r="H10" s="7" t="n">
        <f aca="false">G10*C10</f>
        <v>225000</v>
      </c>
    </row>
    <row r="11" customFormat="false" ht="21.75" hidden="false" customHeight="true" outlineLevel="0" collapsed="false">
      <c r="A11" s="4" t="s">
        <v>114</v>
      </c>
      <c r="B11" s="4" t="s">
        <v>115</v>
      </c>
      <c r="C11" s="4" t="n">
        <v>1</v>
      </c>
      <c r="D11" s="4" t="s">
        <v>87</v>
      </c>
      <c r="E11" s="5" t="n">
        <v>80000</v>
      </c>
      <c r="F11" s="5" t="n">
        <v>150000</v>
      </c>
      <c r="G11" s="5" t="n">
        <f aca="false">(E11+F11)/2</f>
        <v>115000</v>
      </c>
      <c r="H11" s="5" t="n">
        <f aca="false">G11*C11</f>
        <v>115000</v>
      </c>
    </row>
    <row r="12" customFormat="false" ht="21.75" hidden="false" customHeight="true" outlineLevel="0" collapsed="false">
      <c r="A12" s="6" t="s">
        <v>116</v>
      </c>
      <c r="B12" s="6" t="s">
        <v>117</v>
      </c>
      <c r="C12" s="6" t="n">
        <v>200</v>
      </c>
      <c r="D12" s="6" t="s">
        <v>15</v>
      </c>
      <c r="E12" s="7" t="n">
        <v>600</v>
      </c>
      <c r="F12" s="7" t="n">
        <v>1200</v>
      </c>
      <c r="G12" s="7" t="n">
        <f aca="false">(E12+F12)/2</f>
        <v>900</v>
      </c>
      <c r="H12" s="7" t="n">
        <f aca="false">G12*C12</f>
        <v>180000</v>
      </c>
    </row>
    <row r="13" customFormat="false" ht="21.75" hidden="false" customHeight="true" outlineLevel="0" collapsed="false">
      <c r="A13" s="4" t="s">
        <v>118</v>
      </c>
      <c r="B13" s="4" t="s">
        <v>119</v>
      </c>
      <c r="C13" s="4" t="n">
        <v>600</v>
      </c>
      <c r="D13" s="4" t="s">
        <v>15</v>
      </c>
      <c r="E13" s="5" t="n">
        <v>800</v>
      </c>
      <c r="F13" s="5" t="n">
        <v>1500</v>
      </c>
      <c r="G13" s="5" t="n">
        <f aca="false">(E13+F13)/2</f>
        <v>1150</v>
      </c>
      <c r="H13" s="5" t="n">
        <f aca="false">G13*C13</f>
        <v>690000</v>
      </c>
    </row>
    <row r="14" customFormat="false" ht="21.75" hidden="false" customHeight="true" outlineLevel="0" collapsed="false">
      <c r="A14" s="6" t="s">
        <v>120</v>
      </c>
      <c r="B14" s="6" t="s">
        <v>121</v>
      </c>
      <c r="C14" s="6" t="n">
        <v>2</v>
      </c>
      <c r="D14" s="6" t="s">
        <v>71</v>
      </c>
      <c r="E14" s="7" t="n">
        <v>25000</v>
      </c>
      <c r="F14" s="7" t="n">
        <v>50000</v>
      </c>
      <c r="G14" s="7" t="n">
        <f aca="false">(E14+F14)/2</f>
        <v>37500</v>
      </c>
      <c r="H14" s="7" t="n">
        <f aca="false">G14*C14</f>
        <v>75000</v>
      </c>
    </row>
    <row r="15" customFormat="false" ht="21.75" hidden="false" customHeight="true" outlineLevel="0" collapsed="false">
      <c r="A15" s="4" t="s">
        <v>122</v>
      </c>
      <c r="B15" s="4" t="s">
        <v>123</v>
      </c>
      <c r="C15" s="4" t="n">
        <v>2</v>
      </c>
      <c r="D15" s="4" t="s">
        <v>71</v>
      </c>
      <c r="E15" s="5" t="n">
        <v>15000</v>
      </c>
      <c r="F15" s="5" t="n">
        <v>25000</v>
      </c>
      <c r="G15" s="5" t="n">
        <f aca="false">(E15+F15)/2</f>
        <v>20000</v>
      </c>
      <c r="H15" s="5" t="n">
        <f aca="false">G15*C15</f>
        <v>40000</v>
      </c>
    </row>
    <row r="16" customFormat="false" ht="21.75" hidden="false" customHeight="true" outlineLevel="0" collapsed="false">
      <c r="A16" s="6" t="s">
        <v>124</v>
      </c>
      <c r="B16" s="6" t="s">
        <v>125</v>
      </c>
      <c r="C16" s="6" t="n">
        <v>500</v>
      </c>
      <c r="D16" s="6" t="s">
        <v>9</v>
      </c>
      <c r="E16" s="7" t="n">
        <v>3500</v>
      </c>
      <c r="F16" s="7" t="n">
        <v>6000</v>
      </c>
      <c r="G16" s="7" t="n">
        <f aca="false">(E16+F16)/2</f>
        <v>4750</v>
      </c>
      <c r="H16" s="7" t="n">
        <f aca="false">G16*C16</f>
        <v>2375000</v>
      </c>
    </row>
    <row r="17" customFormat="false" ht="21.75" hidden="false" customHeight="true" outlineLevel="0" collapsed="false">
      <c r="A17" s="4" t="s">
        <v>126</v>
      </c>
      <c r="B17" s="4" t="s">
        <v>127</v>
      </c>
      <c r="C17" s="4" t="n">
        <v>1</v>
      </c>
      <c r="D17" s="4" t="s">
        <v>90</v>
      </c>
      <c r="E17" s="5" t="n">
        <v>1500000</v>
      </c>
      <c r="F17" s="5" t="n">
        <v>2500000</v>
      </c>
      <c r="G17" s="5" t="n">
        <f aca="false">(E17+F17)/2</f>
        <v>2000000</v>
      </c>
      <c r="H17" s="5" t="n">
        <f aca="false">G17*C17</f>
        <v>2000000</v>
      </c>
    </row>
    <row r="18" customFormat="false" ht="21.75" hidden="false" customHeight="true" outlineLevel="0" collapsed="false">
      <c r="A18" s="6" t="s">
        <v>128</v>
      </c>
      <c r="B18" s="6" t="s">
        <v>129</v>
      </c>
      <c r="C18" s="6" t="n">
        <v>2</v>
      </c>
      <c r="D18" s="6" t="s">
        <v>76</v>
      </c>
      <c r="E18" s="7" t="n">
        <v>25000</v>
      </c>
      <c r="F18" s="7" t="n">
        <v>40000</v>
      </c>
      <c r="G18" s="7" t="n">
        <f aca="false">(E18+F18)/2</f>
        <v>32500</v>
      </c>
      <c r="H18" s="7" t="n">
        <f aca="false">G18*C18</f>
        <v>65000</v>
      </c>
    </row>
    <row r="19" customFormat="false" ht="21.75" hidden="false" customHeight="true" outlineLevel="0" collapsed="false">
      <c r="A19" s="4" t="s">
        <v>130</v>
      </c>
      <c r="B19" s="4" t="s">
        <v>131</v>
      </c>
      <c r="C19" s="4" t="n">
        <v>2</v>
      </c>
      <c r="D19" s="4" t="s">
        <v>95</v>
      </c>
      <c r="E19" s="5" t="n">
        <v>200000</v>
      </c>
      <c r="F19" s="5" t="n">
        <v>350000</v>
      </c>
      <c r="G19" s="5" t="n">
        <f aca="false">(E19+F19)/2</f>
        <v>275000</v>
      </c>
      <c r="H19" s="5" t="n">
        <f aca="false">G19*C19</f>
        <v>550000</v>
      </c>
    </row>
    <row r="20" customFormat="false" ht="25.5" hidden="false" customHeight="true" outlineLevel="0" collapsed="false">
      <c r="A20" s="8" t="s">
        <v>132</v>
      </c>
      <c r="B20" s="8"/>
      <c r="C20" s="8"/>
      <c r="D20" s="8"/>
      <c r="E20" s="8"/>
      <c r="F20" s="8"/>
      <c r="G20" s="8"/>
      <c r="H20" s="9" t="n">
        <f aca="false">SUM(H5:H19)</f>
        <v>9737000</v>
      </c>
    </row>
    <row r="21" customFormat="false" ht="21.75" hidden="false" customHeight="true" outlineLevel="0" collapsed="false">
      <c r="A21" s="14" t="s">
        <v>97</v>
      </c>
      <c r="B21" s="14"/>
      <c r="C21" s="14"/>
      <c r="D21" s="14"/>
      <c r="E21" s="14"/>
      <c r="F21" s="14"/>
      <c r="G21" s="14"/>
      <c r="H21" s="15" t="n">
        <f aca="false">H20*0.1</f>
        <v>973700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2" t="s">
        <v>133</v>
      </c>
      <c r="B1" s="12"/>
      <c r="C1" s="12"/>
      <c r="D1" s="12"/>
      <c r="E1" s="12"/>
      <c r="F1" s="12"/>
      <c r="G1" s="12"/>
      <c r="H1" s="12"/>
    </row>
    <row r="2" customFormat="false" ht="12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false" outlineLevel="0" collapsed="false">
      <c r="A4" s="13" t="s">
        <v>61</v>
      </c>
      <c r="B4" s="13" t="s">
        <v>7</v>
      </c>
      <c r="C4" s="13" t="s">
        <v>62</v>
      </c>
      <c r="D4" s="13" t="s">
        <v>4</v>
      </c>
      <c r="E4" s="13" t="s">
        <v>63</v>
      </c>
      <c r="F4" s="13" t="s">
        <v>64</v>
      </c>
      <c r="G4" s="13" t="s">
        <v>65</v>
      </c>
      <c r="H4" s="13" t="s">
        <v>6</v>
      </c>
    </row>
    <row r="5" customFormat="false" ht="21.75" hidden="false" customHeight="true" outlineLevel="0" collapsed="false">
      <c r="A5" s="4" t="s">
        <v>134</v>
      </c>
      <c r="B5" s="4" t="s">
        <v>135</v>
      </c>
      <c r="C5" s="4" t="n">
        <v>8</v>
      </c>
      <c r="D5" s="4" t="s">
        <v>76</v>
      </c>
      <c r="E5" s="5" t="n">
        <v>80000</v>
      </c>
      <c r="F5" s="5" t="n">
        <v>150000</v>
      </c>
      <c r="G5" s="5" t="n">
        <f aca="false">(E5+F5)/2</f>
        <v>115000</v>
      </c>
      <c r="H5" s="5" t="n">
        <f aca="false">G5*C5</f>
        <v>920000</v>
      </c>
    </row>
    <row r="6" customFormat="false" ht="21.75" hidden="false" customHeight="true" outlineLevel="0" collapsed="false">
      <c r="A6" s="6" t="s">
        <v>136</v>
      </c>
      <c r="B6" s="6" t="s">
        <v>137</v>
      </c>
      <c r="C6" s="6" t="n">
        <v>4</v>
      </c>
      <c r="D6" s="6" t="s">
        <v>76</v>
      </c>
      <c r="E6" s="7" t="n">
        <v>30000</v>
      </c>
      <c r="F6" s="7" t="n">
        <v>55000</v>
      </c>
      <c r="G6" s="7" t="n">
        <f aca="false">(E6+F6)/2</f>
        <v>42500</v>
      </c>
      <c r="H6" s="7" t="n">
        <f aca="false">G6*C6</f>
        <v>170000</v>
      </c>
    </row>
    <row r="7" customFormat="false" ht="21.75" hidden="false" customHeight="true" outlineLevel="0" collapsed="false">
      <c r="A7" s="4" t="s">
        <v>138</v>
      </c>
      <c r="B7" s="4" t="s">
        <v>139</v>
      </c>
      <c r="C7" s="4" t="n">
        <v>10</v>
      </c>
      <c r="D7" s="4" t="s">
        <v>76</v>
      </c>
      <c r="E7" s="5" t="n">
        <v>20000</v>
      </c>
      <c r="F7" s="5" t="n">
        <v>35000</v>
      </c>
      <c r="G7" s="5" t="n">
        <f aca="false">(E7+F7)/2</f>
        <v>27500</v>
      </c>
      <c r="H7" s="5" t="n">
        <f aca="false">G7*C7</f>
        <v>275000</v>
      </c>
    </row>
    <row r="8" customFormat="false" ht="21.75" hidden="false" customHeight="true" outlineLevel="0" collapsed="false">
      <c r="A8" s="6" t="s">
        <v>140</v>
      </c>
      <c r="B8" s="6" t="s">
        <v>141</v>
      </c>
      <c r="C8" s="6" t="n">
        <v>4</v>
      </c>
      <c r="D8" s="6" t="s">
        <v>76</v>
      </c>
      <c r="E8" s="7" t="n">
        <v>50000</v>
      </c>
      <c r="F8" s="7" t="n">
        <v>80000</v>
      </c>
      <c r="G8" s="7" t="n">
        <f aca="false">(E8+F8)/2</f>
        <v>65000</v>
      </c>
      <c r="H8" s="7" t="n">
        <f aca="false">G8*C8</f>
        <v>260000</v>
      </c>
    </row>
    <row r="9" customFormat="false" ht="21.75" hidden="false" customHeight="true" outlineLevel="0" collapsed="false">
      <c r="A9" s="4" t="s">
        <v>142</v>
      </c>
      <c r="B9" s="4" t="s">
        <v>143</v>
      </c>
      <c r="C9" s="4" t="n">
        <v>2</v>
      </c>
      <c r="D9" s="4" t="s">
        <v>76</v>
      </c>
      <c r="E9" s="5" t="n">
        <v>40000</v>
      </c>
      <c r="F9" s="5" t="n">
        <v>70000</v>
      </c>
      <c r="G9" s="5" t="n">
        <f aca="false">(E9+F9)/2</f>
        <v>55000</v>
      </c>
      <c r="H9" s="5" t="n">
        <f aca="false">G9*C9</f>
        <v>110000</v>
      </c>
    </row>
    <row r="10" customFormat="false" ht="21.75" hidden="false" customHeight="true" outlineLevel="0" collapsed="false">
      <c r="A10" s="6" t="s">
        <v>144</v>
      </c>
      <c r="B10" s="6" t="s">
        <v>145</v>
      </c>
      <c r="C10" s="6" t="n">
        <v>1</v>
      </c>
      <c r="D10" s="6" t="s">
        <v>87</v>
      </c>
      <c r="E10" s="7" t="n">
        <v>100000</v>
      </c>
      <c r="F10" s="7" t="n">
        <v>200000</v>
      </c>
      <c r="G10" s="7" t="n">
        <f aca="false">(E10+F10)/2</f>
        <v>150000</v>
      </c>
      <c r="H10" s="7" t="n">
        <f aca="false">G10*C10</f>
        <v>150000</v>
      </c>
    </row>
    <row r="11" customFormat="false" ht="21.75" hidden="false" customHeight="true" outlineLevel="0" collapsed="false">
      <c r="A11" s="4" t="s">
        <v>146</v>
      </c>
      <c r="B11" s="4" t="s">
        <v>147</v>
      </c>
      <c r="C11" s="4" t="n">
        <v>3</v>
      </c>
      <c r="D11" s="4" t="s">
        <v>71</v>
      </c>
      <c r="E11" s="5" t="n">
        <v>25000</v>
      </c>
      <c r="F11" s="5" t="n">
        <v>40000</v>
      </c>
      <c r="G11" s="5" t="n">
        <f aca="false">(E11+F11)/2</f>
        <v>32500</v>
      </c>
      <c r="H11" s="5" t="n">
        <f aca="false">G11*C11</f>
        <v>97500</v>
      </c>
    </row>
    <row r="12" customFormat="false" ht="21.75" hidden="false" customHeight="true" outlineLevel="0" collapsed="false">
      <c r="A12" s="6" t="s">
        <v>148</v>
      </c>
      <c r="B12" s="6" t="s">
        <v>149</v>
      </c>
      <c r="C12" s="6" t="n">
        <v>3</v>
      </c>
      <c r="D12" s="6" t="s">
        <v>76</v>
      </c>
      <c r="E12" s="7" t="n">
        <v>30000</v>
      </c>
      <c r="F12" s="7" t="n">
        <v>50000</v>
      </c>
      <c r="G12" s="7" t="n">
        <f aca="false">(E12+F12)/2</f>
        <v>40000</v>
      </c>
      <c r="H12" s="7" t="n">
        <f aca="false">G12*C12</f>
        <v>120000</v>
      </c>
    </row>
    <row r="13" customFormat="false" ht="21.75" hidden="false" customHeight="true" outlineLevel="0" collapsed="false">
      <c r="A13" s="4" t="s">
        <v>150</v>
      </c>
      <c r="B13" s="4" t="s">
        <v>151</v>
      </c>
      <c r="C13" s="4" t="n">
        <v>2</v>
      </c>
      <c r="D13" s="4" t="s">
        <v>76</v>
      </c>
      <c r="E13" s="5" t="n">
        <v>120000</v>
      </c>
      <c r="F13" s="5" t="n">
        <v>200000</v>
      </c>
      <c r="G13" s="5" t="n">
        <f aca="false">(E13+F13)/2</f>
        <v>160000</v>
      </c>
      <c r="H13" s="5" t="n">
        <f aca="false">G13*C13</f>
        <v>320000</v>
      </c>
    </row>
    <row r="14" customFormat="false" ht="21.75" hidden="false" customHeight="true" outlineLevel="0" collapsed="false">
      <c r="A14" s="6" t="s">
        <v>152</v>
      </c>
      <c r="B14" s="6" t="s">
        <v>153</v>
      </c>
      <c r="C14" s="6" t="n">
        <v>2</v>
      </c>
      <c r="D14" s="6" t="s">
        <v>76</v>
      </c>
      <c r="E14" s="7" t="n">
        <v>70000</v>
      </c>
      <c r="F14" s="7" t="n">
        <v>100000</v>
      </c>
      <c r="G14" s="7" t="n">
        <f aca="false">(E14+F14)/2</f>
        <v>85000</v>
      </c>
      <c r="H14" s="7" t="n">
        <f aca="false">G14*C14</f>
        <v>170000</v>
      </c>
    </row>
    <row r="15" customFormat="false" ht="21.75" hidden="false" customHeight="true" outlineLevel="0" collapsed="false">
      <c r="A15" s="4" t="s">
        <v>154</v>
      </c>
      <c r="B15" s="4" t="s">
        <v>155</v>
      </c>
      <c r="C15" s="4" t="n">
        <v>2</v>
      </c>
      <c r="D15" s="4" t="s">
        <v>76</v>
      </c>
      <c r="E15" s="5" t="n">
        <v>55000</v>
      </c>
      <c r="F15" s="5" t="n">
        <v>85000</v>
      </c>
      <c r="G15" s="5" t="n">
        <f aca="false">(E15+F15)/2</f>
        <v>70000</v>
      </c>
      <c r="H15" s="5" t="n">
        <f aca="false">G15*C15</f>
        <v>140000</v>
      </c>
    </row>
    <row r="16" customFormat="false" ht="21.75" hidden="false" customHeight="true" outlineLevel="0" collapsed="false">
      <c r="A16" s="6" t="s">
        <v>156</v>
      </c>
      <c r="B16" s="6" t="s">
        <v>157</v>
      </c>
      <c r="C16" s="6" t="n">
        <v>40</v>
      </c>
      <c r="D16" s="6" t="s">
        <v>76</v>
      </c>
      <c r="E16" s="7" t="n">
        <v>600</v>
      </c>
      <c r="F16" s="7" t="n">
        <v>1000</v>
      </c>
      <c r="G16" s="7" t="n">
        <f aca="false">(E16+F16)/2</f>
        <v>800</v>
      </c>
      <c r="H16" s="7" t="n">
        <f aca="false">G16*C16</f>
        <v>32000</v>
      </c>
    </row>
    <row r="17" customFormat="false" ht="21.75" hidden="false" customHeight="true" outlineLevel="0" collapsed="false">
      <c r="A17" s="4" t="s">
        <v>158</v>
      </c>
      <c r="B17" s="4" t="s">
        <v>159</v>
      </c>
      <c r="C17" s="4" t="n">
        <v>2400</v>
      </c>
      <c r="D17" s="4" t="s">
        <v>12</v>
      </c>
      <c r="E17" s="5" t="n">
        <v>60</v>
      </c>
      <c r="F17" s="5" t="n">
        <v>100</v>
      </c>
      <c r="G17" s="5" t="n">
        <f aca="false">(E17+F17)/2</f>
        <v>80</v>
      </c>
      <c r="H17" s="5" t="n">
        <f aca="false">G17*C17</f>
        <v>192000</v>
      </c>
    </row>
    <row r="18" customFormat="false" ht="21.75" hidden="false" customHeight="true" outlineLevel="0" collapsed="false">
      <c r="A18" s="6" t="s">
        <v>160</v>
      </c>
      <c r="B18" s="6" t="s">
        <v>161</v>
      </c>
      <c r="C18" s="6" t="n">
        <v>1</v>
      </c>
      <c r="D18" s="6" t="s">
        <v>90</v>
      </c>
      <c r="E18" s="7" t="n">
        <v>500000</v>
      </c>
      <c r="F18" s="7" t="n">
        <v>1000000</v>
      </c>
      <c r="G18" s="7" t="n">
        <f aca="false">(E18+F18)/2</f>
        <v>750000</v>
      </c>
      <c r="H18" s="7" t="n">
        <f aca="false">G18*C18</f>
        <v>750000</v>
      </c>
    </row>
    <row r="19" customFormat="false" ht="21.75" hidden="false" customHeight="true" outlineLevel="0" collapsed="false">
      <c r="A19" s="4" t="s">
        <v>162</v>
      </c>
      <c r="B19" s="4" t="s">
        <v>163</v>
      </c>
      <c r="C19" s="4" t="n">
        <v>8</v>
      </c>
      <c r="D19" s="4" t="s">
        <v>71</v>
      </c>
      <c r="E19" s="5" t="n">
        <v>15000</v>
      </c>
      <c r="F19" s="5" t="n">
        <v>25000</v>
      </c>
      <c r="G19" s="5" t="n">
        <f aca="false">(E19+F19)/2</f>
        <v>20000</v>
      </c>
      <c r="H19" s="5" t="n">
        <f aca="false">G19*C19</f>
        <v>160000</v>
      </c>
    </row>
    <row r="20" customFormat="false" ht="21.75" hidden="false" customHeight="true" outlineLevel="0" collapsed="false">
      <c r="A20" s="6" t="s">
        <v>164</v>
      </c>
      <c r="B20" s="6" t="s">
        <v>165</v>
      </c>
      <c r="C20" s="6" t="n">
        <v>8</v>
      </c>
      <c r="D20" s="6" t="s">
        <v>76</v>
      </c>
      <c r="E20" s="7" t="n">
        <v>8000</v>
      </c>
      <c r="F20" s="7" t="n">
        <v>15000</v>
      </c>
      <c r="G20" s="7" t="n">
        <f aca="false">(E20+F20)/2</f>
        <v>11500</v>
      </c>
      <c r="H20" s="7" t="n">
        <f aca="false">G20*C20</f>
        <v>92000</v>
      </c>
    </row>
    <row r="21" customFormat="false" ht="21.75" hidden="false" customHeight="true" outlineLevel="0" collapsed="false">
      <c r="A21" s="4" t="s">
        <v>166</v>
      </c>
      <c r="B21" s="4" t="s">
        <v>167</v>
      </c>
      <c r="C21" s="4" t="n">
        <v>50</v>
      </c>
      <c r="D21" s="4" t="s">
        <v>76</v>
      </c>
      <c r="E21" s="5" t="n">
        <v>6000</v>
      </c>
      <c r="F21" s="5" t="n">
        <v>12000</v>
      </c>
      <c r="G21" s="5" t="n">
        <f aca="false">(E21+F21)/2</f>
        <v>9000</v>
      </c>
      <c r="H21" s="5" t="n">
        <f aca="false">G21*C21</f>
        <v>450000</v>
      </c>
    </row>
    <row r="22" customFormat="false" ht="21.75" hidden="false" customHeight="true" outlineLevel="0" collapsed="false">
      <c r="A22" s="6" t="s">
        <v>168</v>
      </c>
      <c r="B22" s="6" t="s">
        <v>169</v>
      </c>
      <c r="C22" s="6" t="n">
        <v>1</v>
      </c>
      <c r="D22" s="6" t="s">
        <v>87</v>
      </c>
      <c r="E22" s="7" t="n">
        <v>150000</v>
      </c>
      <c r="F22" s="7" t="n">
        <v>300000</v>
      </c>
      <c r="G22" s="7" t="n">
        <f aca="false">(E22+F22)/2</f>
        <v>225000</v>
      </c>
      <c r="H22" s="7" t="n">
        <f aca="false">G22*C22</f>
        <v>225000</v>
      </c>
    </row>
    <row r="23" customFormat="false" ht="25.5" hidden="false" customHeight="true" outlineLevel="0" collapsed="false">
      <c r="A23" s="8" t="s">
        <v>170</v>
      </c>
      <c r="B23" s="8"/>
      <c r="C23" s="8"/>
      <c r="D23" s="8"/>
      <c r="E23" s="8"/>
      <c r="F23" s="8"/>
      <c r="G23" s="8"/>
      <c r="H23" s="9" t="n">
        <f aca="false">SUM(H5:H22)</f>
        <v>4633500</v>
      </c>
    </row>
    <row r="24" customFormat="false" ht="21.75" hidden="false" customHeight="true" outlineLevel="0" collapsed="false">
      <c r="A24" s="14" t="s">
        <v>97</v>
      </c>
      <c r="B24" s="14"/>
      <c r="C24" s="14"/>
      <c r="D24" s="14"/>
      <c r="E24" s="14"/>
      <c r="F24" s="14"/>
      <c r="G24" s="14"/>
      <c r="H24" s="15" t="n">
        <f aca="false">H23*0.1</f>
        <v>463350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2026-07-16T13:08:37Z</dcterms:created>
  <dc:creator>openpyxl</dc:creator>
  <dc:description/>
  <dc:language>en-US</dc:language>
  <cp:lastModifiedBy/>
  <dcterms:modified xsi:type="dcterms:W3CDTF">2026-07-16T13:08:38Z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